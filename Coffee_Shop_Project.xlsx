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kaabs\Downloads\"/>
    </mc:Choice>
  </mc:AlternateContent>
  <xr:revisionPtr revIDLastSave="0" documentId="8_{061473FC-F532-4161-A82D-1C52AE35178D}" xr6:coauthVersionLast="47" xr6:coauthVersionMax="47" xr10:uidLastSave="{00000000-0000-0000-0000-000000000000}"/>
  <bookViews>
    <workbookView xWindow="-108" yWindow="-108" windowWidth="23256" windowHeight="12456" activeTab="6" xr2:uid="{00000000-000D-0000-FFFF-FFFF00000000}"/>
  </bookViews>
  <sheets>
    <sheet name="Total Sales" sheetId="3" r:id="rId1"/>
    <sheet name="Orders" sheetId="1" r:id="rId2"/>
    <sheet name="Customer" sheetId="4" r:id="rId3"/>
    <sheet name="Product" sheetId="5" r:id="rId4"/>
    <sheet name="Total Sales by country (2)" sheetId="6" r:id="rId5"/>
    <sheet name="Top 5 Customer" sheetId="8" r:id="rId6"/>
    <sheet name="Dashboard" sheetId="9" r:id="rId7"/>
  </sheets>
  <externalReferences>
    <externalReference r:id="rId8"/>
    <externalReference r:id="rId9"/>
    <externalReference r:id="rId10"/>
  </externalReferences>
  <definedNames>
    <definedName name="NativeTimeline_Order_Date">#N/A</definedName>
    <definedName name="Slicer_Loyalty_card">#N/A</definedName>
    <definedName name="Slicer_Roast_Type_Name">#N/A</definedName>
    <definedName name="Slicer_Siz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L3" i="1"/>
  <c r="M3" i="1" s="1"/>
  <c r="L4" i="1"/>
  <c r="M4" i="1" s="1"/>
  <c r="L5" i="1"/>
  <c r="M5" i="1" s="1"/>
  <c r="L6" i="1"/>
  <c r="M6" i="1" s="1"/>
  <c r="L7" i="1"/>
  <c r="M7" i="1" s="1"/>
  <c r="L8" i="1"/>
  <c r="M8" i="1" s="1"/>
  <c r="L9" i="1"/>
  <c r="M9" i="1" s="1"/>
  <c r="L10" i="1"/>
  <c r="M10" i="1" s="1"/>
  <c r="L11" i="1"/>
  <c r="M11" i="1" s="1"/>
  <c r="L12" i="1"/>
  <c r="M12" i="1" s="1"/>
  <c r="L13" i="1"/>
  <c r="M13" i="1" s="1"/>
  <c r="L14" i="1"/>
  <c r="M14" i="1" s="1"/>
  <c r="L15" i="1"/>
  <c r="M15" i="1" s="1"/>
  <c r="L16" i="1"/>
  <c r="M16" i="1" s="1"/>
  <c r="L17" i="1"/>
  <c r="M17" i="1" s="1"/>
  <c r="L18" i="1"/>
  <c r="M18" i="1" s="1"/>
  <c r="L19" i="1"/>
  <c r="M19" i="1" s="1"/>
  <c r="L20" i="1"/>
  <c r="M20" i="1" s="1"/>
  <c r="L21" i="1"/>
  <c r="M21" i="1" s="1"/>
  <c r="L22" i="1"/>
  <c r="M22" i="1" s="1"/>
  <c r="L23" i="1"/>
  <c r="M23" i="1" s="1"/>
  <c r="L24" i="1"/>
  <c r="M24" i="1" s="1"/>
  <c r="L25" i="1"/>
  <c r="M25" i="1" s="1"/>
  <c r="L26" i="1"/>
  <c r="M26" i="1" s="1"/>
  <c r="L27" i="1"/>
  <c r="M27" i="1" s="1"/>
  <c r="L28" i="1"/>
  <c r="M28" i="1" s="1"/>
  <c r="L29" i="1"/>
  <c r="M29" i="1" s="1"/>
  <c r="L30" i="1"/>
  <c r="M30" i="1" s="1"/>
  <c r="L31" i="1"/>
  <c r="M31" i="1" s="1"/>
  <c r="L32" i="1"/>
  <c r="M32" i="1" s="1"/>
  <c r="L33" i="1"/>
  <c r="M33" i="1" s="1"/>
  <c r="L34" i="1"/>
  <c r="M34" i="1" s="1"/>
  <c r="L35" i="1"/>
  <c r="M35" i="1" s="1"/>
  <c r="L36" i="1"/>
  <c r="M36" i="1" s="1"/>
  <c r="L37" i="1"/>
  <c r="M37" i="1" s="1"/>
  <c r="L38" i="1"/>
  <c r="M38" i="1" s="1"/>
  <c r="L39" i="1"/>
  <c r="M39" i="1" s="1"/>
  <c r="L40" i="1"/>
  <c r="M40" i="1" s="1"/>
  <c r="L41" i="1"/>
  <c r="M41" i="1" s="1"/>
  <c r="L42" i="1"/>
  <c r="M42" i="1" s="1"/>
  <c r="L43" i="1"/>
  <c r="M43" i="1" s="1"/>
  <c r="L44" i="1"/>
  <c r="M44" i="1" s="1"/>
  <c r="L45" i="1"/>
  <c r="M45" i="1" s="1"/>
  <c r="L46" i="1"/>
  <c r="M46" i="1" s="1"/>
  <c r="L47" i="1"/>
  <c r="M47" i="1" s="1"/>
  <c r="L48" i="1"/>
  <c r="M48" i="1" s="1"/>
  <c r="L49" i="1"/>
  <c r="M49" i="1" s="1"/>
  <c r="L50" i="1"/>
  <c r="M50" i="1" s="1"/>
  <c r="L51" i="1"/>
  <c r="M51" i="1" s="1"/>
  <c r="L52" i="1"/>
  <c r="M52" i="1" s="1"/>
  <c r="L53" i="1"/>
  <c r="M53" i="1" s="1"/>
  <c r="L54" i="1"/>
  <c r="M54" i="1" s="1"/>
  <c r="L55" i="1"/>
  <c r="M55" i="1" s="1"/>
  <c r="L56" i="1"/>
  <c r="M56" i="1" s="1"/>
  <c r="L57" i="1"/>
  <c r="M57" i="1" s="1"/>
  <c r="L58" i="1"/>
  <c r="M58" i="1" s="1"/>
  <c r="L59" i="1"/>
  <c r="M59" i="1" s="1"/>
  <c r="L60" i="1"/>
  <c r="M60" i="1" s="1"/>
  <c r="L61" i="1"/>
  <c r="M61" i="1" s="1"/>
  <c r="L62" i="1"/>
  <c r="M62" i="1" s="1"/>
  <c r="L63" i="1"/>
  <c r="M63" i="1" s="1"/>
  <c r="L64" i="1"/>
  <c r="M64" i="1" s="1"/>
  <c r="L65" i="1"/>
  <c r="M65" i="1" s="1"/>
  <c r="L66" i="1"/>
  <c r="M66" i="1" s="1"/>
  <c r="L67" i="1"/>
  <c r="M67" i="1" s="1"/>
  <c r="L68" i="1"/>
  <c r="M68" i="1" s="1"/>
  <c r="L69" i="1"/>
  <c r="M69" i="1" s="1"/>
  <c r="L70" i="1"/>
  <c r="M70" i="1" s="1"/>
  <c r="L71" i="1"/>
  <c r="M71" i="1" s="1"/>
  <c r="L72" i="1"/>
  <c r="M72" i="1" s="1"/>
  <c r="L73" i="1"/>
  <c r="M73" i="1" s="1"/>
  <c r="L74" i="1"/>
  <c r="M74" i="1" s="1"/>
  <c r="L75" i="1"/>
  <c r="M75" i="1" s="1"/>
  <c r="L76" i="1"/>
  <c r="M76" i="1" s="1"/>
  <c r="L77" i="1"/>
  <c r="M77" i="1" s="1"/>
  <c r="L78" i="1"/>
  <c r="M78" i="1" s="1"/>
  <c r="L79" i="1"/>
  <c r="M79" i="1" s="1"/>
  <c r="L80" i="1"/>
  <c r="M80" i="1" s="1"/>
  <c r="L81" i="1"/>
  <c r="M81" i="1" s="1"/>
  <c r="L82" i="1"/>
  <c r="M82" i="1" s="1"/>
  <c r="L83" i="1"/>
  <c r="M83" i="1" s="1"/>
  <c r="L84" i="1"/>
  <c r="M84" i="1" s="1"/>
  <c r="L85" i="1"/>
  <c r="M85" i="1" s="1"/>
  <c r="L86" i="1"/>
  <c r="M86" i="1" s="1"/>
  <c r="L87" i="1"/>
  <c r="M87" i="1" s="1"/>
  <c r="L88" i="1"/>
  <c r="M88" i="1" s="1"/>
  <c r="L89" i="1"/>
  <c r="M89" i="1" s="1"/>
  <c r="L90" i="1"/>
  <c r="M90" i="1" s="1"/>
  <c r="L91" i="1"/>
  <c r="M91" i="1" s="1"/>
  <c r="L92" i="1"/>
  <c r="M92" i="1" s="1"/>
  <c r="L93" i="1"/>
  <c r="M93" i="1" s="1"/>
  <c r="L94" i="1"/>
  <c r="M94" i="1" s="1"/>
  <c r="L95" i="1"/>
  <c r="M95" i="1" s="1"/>
  <c r="L96" i="1"/>
  <c r="M96" i="1" s="1"/>
  <c r="L97" i="1"/>
  <c r="M97" i="1" s="1"/>
  <c r="L98" i="1"/>
  <c r="M98" i="1" s="1"/>
  <c r="L99" i="1"/>
  <c r="M99" i="1" s="1"/>
  <c r="L100" i="1"/>
  <c r="M100" i="1" s="1"/>
  <c r="L2" i="1"/>
  <c r="M2" i="1"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2" i="1"/>
  <c r="J3" i="1"/>
  <c r="O3" i="1" s="1"/>
  <c r="J4" i="1"/>
  <c r="O4" i="1" s="1"/>
  <c r="J5" i="1"/>
  <c r="O5" i="1" s="1"/>
  <c r="J6" i="1"/>
  <c r="O6" i="1" s="1"/>
  <c r="J7" i="1"/>
  <c r="O7" i="1" s="1"/>
  <c r="J8" i="1"/>
  <c r="O8" i="1" s="1"/>
  <c r="J9" i="1"/>
  <c r="O9" i="1" s="1"/>
  <c r="J10" i="1"/>
  <c r="O10" i="1" s="1"/>
  <c r="J11" i="1"/>
  <c r="O11" i="1" s="1"/>
  <c r="J12" i="1"/>
  <c r="O12" i="1" s="1"/>
  <c r="J13" i="1"/>
  <c r="O13" i="1" s="1"/>
  <c r="J14" i="1"/>
  <c r="O14" i="1" s="1"/>
  <c r="J15" i="1"/>
  <c r="O15" i="1" s="1"/>
  <c r="J16" i="1"/>
  <c r="O16" i="1" s="1"/>
  <c r="J17" i="1"/>
  <c r="O17" i="1" s="1"/>
  <c r="J18" i="1"/>
  <c r="O18" i="1" s="1"/>
  <c r="J19" i="1"/>
  <c r="O19" i="1" s="1"/>
  <c r="J20" i="1"/>
  <c r="O20" i="1" s="1"/>
  <c r="J21" i="1"/>
  <c r="O21" i="1" s="1"/>
  <c r="J22" i="1"/>
  <c r="O22" i="1" s="1"/>
  <c r="J23" i="1"/>
  <c r="O23" i="1" s="1"/>
  <c r="J24" i="1"/>
  <c r="O24" i="1" s="1"/>
  <c r="J25" i="1"/>
  <c r="O25" i="1" s="1"/>
  <c r="J26" i="1"/>
  <c r="O26" i="1" s="1"/>
  <c r="J27" i="1"/>
  <c r="O27" i="1" s="1"/>
  <c r="J28" i="1"/>
  <c r="O28" i="1" s="1"/>
  <c r="J29" i="1"/>
  <c r="O29" i="1" s="1"/>
  <c r="J30" i="1"/>
  <c r="O30" i="1" s="1"/>
  <c r="J31" i="1"/>
  <c r="O31" i="1" s="1"/>
  <c r="J32" i="1"/>
  <c r="O32" i="1" s="1"/>
  <c r="J33" i="1"/>
  <c r="O33" i="1" s="1"/>
  <c r="J34" i="1"/>
  <c r="O34" i="1" s="1"/>
  <c r="J35" i="1"/>
  <c r="O35" i="1" s="1"/>
  <c r="J36" i="1"/>
  <c r="O36" i="1" s="1"/>
  <c r="J37" i="1"/>
  <c r="O37" i="1" s="1"/>
  <c r="J38" i="1"/>
  <c r="O38" i="1" s="1"/>
  <c r="J39" i="1"/>
  <c r="O39" i="1" s="1"/>
  <c r="J40" i="1"/>
  <c r="O40" i="1" s="1"/>
  <c r="J41" i="1"/>
  <c r="O41" i="1" s="1"/>
  <c r="J42" i="1"/>
  <c r="O42" i="1" s="1"/>
  <c r="J43" i="1"/>
  <c r="O43" i="1" s="1"/>
  <c r="J44" i="1"/>
  <c r="O44" i="1" s="1"/>
  <c r="J45" i="1"/>
  <c r="O45" i="1" s="1"/>
  <c r="J46" i="1"/>
  <c r="O46" i="1" s="1"/>
  <c r="J47" i="1"/>
  <c r="O47" i="1" s="1"/>
  <c r="J48" i="1"/>
  <c r="O48" i="1" s="1"/>
  <c r="J49" i="1"/>
  <c r="O49" i="1" s="1"/>
  <c r="J50" i="1"/>
  <c r="O50" i="1" s="1"/>
  <c r="J51" i="1"/>
  <c r="O51" i="1" s="1"/>
  <c r="J52" i="1"/>
  <c r="O52" i="1" s="1"/>
  <c r="J53" i="1"/>
  <c r="O53" i="1" s="1"/>
  <c r="J54" i="1"/>
  <c r="O54" i="1" s="1"/>
  <c r="J55" i="1"/>
  <c r="O55" i="1" s="1"/>
  <c r="J56" i="1"/>
  <c r="O56" i="1" s="1"/>
  <c r="J57" i="1"/>
  <c r="O57" i="1" s="1"/>
  <c r="J58" i="1"/>
  <c r="O58" i="1" s="1"/>
  <c r="J59" i="1"/>
  <c r="O59" i="1" s="1"/>
  <c r="J60" i="1"/>
  <c r="O60" i="1" s="1"/>
  <c r="J61" i="1"/>
  <c r="O61" i="1" s="1"/>
  <c r="J62" i="1"/>
  <c r="O62" i="1" s="1"/>
  <c r="J63" i="1"/>
  <c r="O63" i="1" s="1"/>
  <c r="J64" i="1"/>
  <c r="O64" i="1" s="1"/>
  <c r="J65" i="1"/>
  <c r="O65" i="1" s="1"/>
  <c r="J66" i="1"/>
  <c r="O66" i="1" s="1"/>
  <c r="J67" i="1"/>
  <c r="O67" i="1" s="1"/>
  <c r="J68" i="1"/>
  <c r="O68" i="1" s="1"/>
  <c r="J69" i="1"/>
  <c r="O69" i="1" s="1"/>
  <c r="J70" i="1"/>
  <c r="O70" i="1" s="1"/>
  <c r="J71" i="1"/>
  <c r="O71" i="1" s="1"/>
  <c r="J72" i="1"/>
  <c r="O72" i="1" s="1"/>
  <c r="J73" i="1"/>
  <c r="O73" i="1" s="1"/>
  <c r="J74" i="1"/>
  <c r="O74" i="1" s="1"/>
  <c r="J75" i="1"/>
  <c r="O75" i="1" s="1"/>
  <c r="J76" i="1"/>
  <c r="O76" i="1" s="1"/>
  <c r="J77" i="1"/>
  <c r="O77" i="1" s="1"/>
  <c r="J78" i="1"/>
  <c r="O78" i="1" s="1"/>
  <c r="J79" i="1"/>
  <c r="O79" i="1" s="1"/>
  <c r="J80" i="1"/>
  <c r="O80" i="1" s="1"/>
  <c r="J81" i="1"/>
  <c r="O81" i="1" s="1"/>
  <c r="J82" i="1"/>
  <c r="O82" i="1" s="1"/>
  <c r="J83" i="1"/>
  <c r="O83" i="1" s="1"/>
  <c r="J84" i="1"/>
  <c r="O84" i="1" s="1"/>
  <c r="J85" i="1"/>
  <c r="O85" i="1" s="1"/>
  <c r="J86" i="1"/>
  <c r="O86" i="1" s="1"/>
  <c r="J87" i="1"/>
  <c r="O87" i="1" s="1"/>
  <c r="J88" i="1"/>
  <c r="O88" i="1" s="1"/>
  <c r="J89" i="1"/>
  <c r="O89" i="1" s="1"/>
  <c r="J90" i="1"/>
  <c r="O90" i="1" s="1"/>
  <c r="J91" i="1"/>
  <c r="O91" i="1" s="1"/>
  <c r="J92" i="1"/>
  <c r="O92" i="1" s="1"/>
  <c r="J93" i="1"/>
  <c r="O93" i="1" s="1"/>
  <c r="J94" i="1"/>
  <c r="O94" i="1" s="1"/>
  <c r="J95" i="1"/>
  <c r="O95" i="1" s="1"/>
  <c r="J96" i="1"/>
  <c r="O96" i="1" s="1"/>
  <c r="J97" i="1"/>
  <c r="O97" i="1" s="1"/>
  <c r="J98" i="1"/>
  <c r="O98" i="1" s="1"/>
  <c r="J99" i="1"/>
  <c r="O99" i="1" s="1"/>
  <c r="J100" i="1"/>
  <c r="O100" i="1" s="1"/>
  <c r="J2" i="1"/>
  <c r="O2" i="1" s="1"/>
  <c r="I3" i="1"/>
  <c r="N3" i="1" s="1"/>
  <c r="I4" i="1"/>
  <c r="N4" i="1" s="1"/>
  <c r="I5" i="1"/>
  <c r="N5" i="1" s="1"/>
  <c r="I6" i="1"/>
  <c r="N6" i="1" s="1"/>
  <c r="I7" i="1"/>
  <c r="N7" i="1" s="1"/>
  <c r="I8" i="1"/>
  <c r="N8" i="1" s="1"/>
  <c r="I9" i="1"/>
  <c r="N9" i="1" s="1"/>
  <c r="I10" i="1"/>
  <c r="N10" i="1" s="1"/>
  <c r="I11" i="1"/>
  <c r="N11" i="1" s="1"/>
  <c r="I12" i="1"/>
  <c r="N12" i="1" s="1"/>
  <c r="I13" i="1"/>
  <c r="N13" i="1" s="1"/>
  <c r="I14" i="1"/>
  <c r="N14" i="1" s="1"/>
  <c r="I15" i="1"/>
  <c r="N15" i="1" s="1"/>
  <c r="I16" i="1"/>
  <c r="N16" i="1" s="1"/>
  <c r="I17" i="1"/>
  <c r="N17" i="1" s="1"/>
  <c r="I18" i="1"/>
  <c r="N18" i="1" s="1"/>
  <c r="I19" i="1"/>
  <c r="N19" i="1" s="1"/>
  <c r="I20" i="1"/>
  <c r="N20" i="1" s="1"/>
  <c r="I21" i="1"/>
  <c r="N21" i="1" s="1"/>
  <c r="I22" i="1"/>
  <c r="N22" i="1" s="1"/>
  <c r="I23" i="1"/>
  <c r="N23" i="1" s="1"/>
  <c r="I24" i="1"/>
  <c r="N24" i="1" s="1"/>
  <c r="I25" i="1"/>
  <c r="N25" i="1" s="1"/>
  <c r="I26" i="1"/>
  <c r="N26" i="1" s="1"/>
  <c r="I27" i="1"/>
  <c r="N27" i="1" s="1"/>
  <c r="I28" i="1"/>
  <c r="N28" i="1" s="1"/>
  <c r="I29" i="1"/>
  <c r="N29" i="1" s="1"/>
  <c r="I30" i="1"/>
  <c r="N30" i="1" s="1"/>
  <c r="I31" i="1"/>
  <c r="N31" i="1" s="1"/>
  <c r="I32" i="1"/>
  <c r="N32" i="1" s="1"/>
  <c r="I33" i="1"/>
  <c r="N33" i="1" s="1"/>
  <c r="I34" i="1"/>
  <c r="N34" i="1" s="1"/>
  <c r="I35" i="1"/>
  <c r="N35" i="1" s="1"/>
  <c r="I36" i="1"/>
  <c r="N36" i="1" s="1"/>
  <c r="I37" i="1"/>
  <c r="N37" i="1" s="1"/>
  <c r="I38" i="1"/>
  <c r="N38" i="1" s="1"/>
  <c r="I39" i="1"/>
  <c r="N39" i="1" s="1"/>
  <c r="I40" i="1"/>
  <c r="N40" i="1" s="1"/>
  <c r="I41" i="1"/>
  <c r="N41" i="1" s="1"/>
  <c r="I42" i="1"/>
  <c r="N42" i="1" s="1"/>
  <c r="I43" i="1"/>
  <c r="N43" i="1" s="1"/>
  <c r="I44" i="1"/>
  <c r="N44" i="1" s="1"/>
  <c r="I45" i="1"/>
  <c r="N45" i="1" s="1"/>
  <c r="I46" i="1"/>
  <c r="N46" i="1" s="1"/>
  <c r="I47" i="1"/>
  <c r="N47" i="1" s="1"/>
  <c r="I48" i="1"/>
  <c r="N48" i="1" s="1"/>
  <c r="I49" i="1"/>
  <c r="N49" i="1" s="1"/>
  <c r="I50" i="1"/>
  <c r="N50" i="1" s="1"/>
  <c r="I51" i="1"/>
  <c r="N51" i="1" s="1"/>
  <c r="I52" i="1"/>
  <c r="N52" i="1" s="1"/>
  <c r="I53" i="1"/>
  <c r="N53" i="1" s="1"/>
  <c r="I54" i="1"/>
  <c r="N54" i="1" s="1"/>
  <c r="I55" i="1"/>
  <c r="N55" i="1" s="1"/>
  <c r="I56" i="1"/>
  <c r="N56" i="1" s="1"/>
  <c r="I57" i="1"/>
  <c r="N57" i="1" s="1"/>
  <c r="I58" i="1"/>
  <c r="N58" i="1" s="1"/>
  <c r="I59" i="1"/>
  <c r="N59" i="1" s="1"/>
  <c r="I60" i="1"/>
  <c r="N60" i="1" s="1"/>
  <c r="I61" i="1"/>
  <c r="N61" i="1" s="1"/>
  <c r="I62" i="1"/>
  <c r="N62" i="1" s="1"/>
  <c r="I63" i="1"/>
  <c r="N63" i="1" s="1"/>
  <c r="I64" i="1"/>
  <c r="N64" i="1" s="1"/>
  <c r="I65" i="1"/>
  <c r="N65" i="1" s="1"/>
  <c r="I66" i="1"/>
  <c r="N66" i="1" s="1"/>
  <c r="I67" i="1"/>
  <c r="N67" i="1" s="1"/>
  <c r="I68" i="1"/>
  <c r="N68" i="1" s="1"/>
  <c r="I69" i="1"/>
  <c r="N69" i="1" s="1"/>
  <c r="I70" i="1"/>
  <c r="N70" i="1" s="1"/>
  <c r="I71" i="1"/>
  <c r="N71" i="1" s="1"/>
  <c r="I72" i="1"/>
  <c r="N72" i="1" s="1"/>
  <c r="I73" i="1"/>
  <c r="N73" i="1" s="1"/>
  <c r="I74" i="1"/>
  <c r="N74" i="1" s="1"/>
  <c r="I75" i="1"/>
  <c r="N75" i="1" s="1"/>
  <c r="I76" i="1"/>
  <c r="N76" i="1" s="1"/>
  <c r="I77" i="1"/>
  <c r="N77" i="1" s="1"/>
  <c r="I78" i="1"/>
  <c r="N78" i="1" s="1"/>
  <c r="I79" i="1"/>
  <c r="N79" i="1" s="1"/>
  <c r="I80" i="1"/>
  <c r="N80" i="1" s="1"/>
  <c r="I81" i="1"/>
  <c r="N81" i="1" s="1"/>
  <c r="I82" i="1"/>
  <c r="N82" i="1" s="1"/>
  <c r="I83" i="1"/>
  <c r="N83" i="1" s="1"/>
  <c r="I84" i="1"/>
  <c r="N84" i="1" s="1"/>
  <c r="I85" i="1"/>
  <c r="N85" i="1" s="1"/>
  <c r="I86" i="1"/>
  <c r="N86" i="1" s="1"/>
  <c r="I87" i="1"/>
  <c r="N87" i="1" s="1"/>
  <c r="I88" i="1"/>
  <c r="N88" i="1" s="1"/>
  <c r="I89" i="1"/>
  <c r="N89" i="1" s="1"/>
  <c r="I90" i="1"/>
  <c r="N90" i="1" s="1"/>
  <c r="I91" i="1"/>
  <c r="N91" i="1" s="1"/>
  <c r="I92" i="1"/>
  <c r="N92" i="1" s="1"/>
  <c r="I93" i="1"/>
  <c r="N93" i="1" s="1"/>
  <c r="I94" i="1"/>
  <c r="N94" i="1" s="1"/>
  <c r="I95" i="1"/>
  <c r="N95" i="1" s="1"/>
  <c r="I96" i="1"/>
  <c r="N96" i="1" s="1"/>
  <c r="I97" i="1"/>
  <c r="N97" i="1" s="1"/>
  <c r="I98" i="1"/>
  <c r="N98" i="1" s="1"/>
  <c r="I99" i="1"/>
  <c r="N99" i="1" s="1"/>
  <c r="I100" i="1"/>
  <c r="N100" i="1" s="1"/>
  <c r="I2" i="1"/>
  <c r="N2" i="1" s="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2" i="1"/>
</calcChain>
</file>

<file path=xl/sharedStrings.xml><?xml version="1.0" encoding="utf-8"?>
<sst xmlns="http://schemas.openxmlformats.org/spreadsheetml/2006/main" count="1665" uniqueCount="636">
  <si>
    <t>Order ID</t>
  </si>
  <si>
    <t>Order Date</t>
  </si>
  <si>
    <t>Customer ID</t>
  </si>
  <si>
    <t>Product ID</t>
  </si>
  <si>
    <t>Quantity</t>
  </si>
  <si>
    <t>Customer Name</t>
  </si>
  <si>
    <t>Email</t>
  </si>
  <si>
    <t>Country</t>
  </si>
  <si>
    <t>Coffee Type</t>
  </si>
  <si>
    <t>Roast Type</t>
  </si>
  <si>
    <t>Size</t>
  </si>
  <si>
    <t>Unit Price</t>
  </si>
  <si>
    <t>Sales</t>
  </si>
  <si>
    <t>ORD-64402</t>
  </si>
  <si>
    <t>CUST092</t>
  </si>
  <si>
    <t>P-15</t>
  </si>
  <si>
    <t>Ananya Gupta</t>
  </si>
  <si>
    <t>ORD-85810</t>
  </si>
  <si>
    <t>CUST048</t>
  </si>
  <si>
    <t>P-07</t>
  </si>
  <si>
    <t>Pooja Mehta</t>
  </si>
  <si>
    <t>ORD-42942</t>
  </si>
  <si>
    <t>CUST047</t>
  </si>
  <si>
    <t>P-08</t>
  </si>
  <si>
    <t>Karthik Kumar</t>
  </si>
  <si>
    <t>ORD-67072</t>
  </si>
  <si>
    <t>CUST039</t>
  </si>
  <si>
    <t>P-10</t>
  </si>
  <si>
    <t>Neha Singh</t>
  </si>
  <si>
    <t>ORD-43196</t>
  </si>
  <si>
    <t>CUST018</t>
  </si>
  <si>
    <t>ORD-24532</t>
  </si>
  <si>
    <t>ORD-27846</t>
  </si>
  <si>
    <t>CUST045</t>
  </si>
  <si>
    <t>P-20</t>
  </si>
  <si>
    <t>Suresh Babu</t>
  </si>
  <si>
    <t>ORD-79597</t>
  </si>
  <si>
    <t>CUST009</t>
  </si>
  <si>
    <t>P-13</t>
  </si>
  <si>
    <t>ORD-14053</t>
  </si>
  <si>
    <t>CUST051</t>
  </si>
  <si>
    <t>P-09</t>
  </si>
  <si>
    <t>Manoj Tiwari</t>
  </si>
  <si>
    <t>ORD-16111</t>
  </si>
  <si>
    <t>CUST056</t>
  </si>
  <si>
    <t>P-14</t>
  </si>
  <si>
    <t>Sneha Reddy</t>
  </si>
  <si>
    <t>ORD-76475</t>
  </si>
  <si>
    <t>CUST007</t>
  </si>
  <si>
    <t>ORD-87143</t>
  </si>
  <si>
    <t>CUST077</t>
  </si>
  <si>
    <t>P-02</t>
  </si>
  <si>
    <t>ORD-63383</t>
  </si>
  <si>
    <t>CUST005</t>
  </si>
  <si>
    <t>ORD-99338</t>
  </si>
  <si>
    <t>CUST054</t>
  </si>
  <si>
    <t>P-05</t>
  </si>
  <si>
    <t>ORD-24657</t>
  </si>
  <si>
    <t>CUST071</t>
  </si>
  <si>
    <t>P-04</t>
  </si>
  <si>
    <t>Meena Lakshmi</t>
  </si>
  <si>
    <t>ORD-48620</t>
  </si>
  <si>
    <t>CUST014</t>
  </si>
  <si>
    <t>P-01</t>
  </si>
  <si>
    <t>Kiran Das</t>
  </si>
  <si>
    <t>ORD-88153</t>
  </si>
  <si>
    <t>CUST026</t>
  </si>
  <si>
    <t>P-17</t>
  </si>
  <si>
    <t>ORD-29318</t>
  </si>
  <si>
    <t>CUST013</t>
  </si>
  <si>
    <t>P-03</t>
  </si>
  <si>
    <t>Rahul Sharma</t>
  </si>
  <si>
    <t>ORD-90465</t>
  </si>
  <si>
    <t>CUST085</t>
  </si>
  <si>
    <t>P-19</t>
  </si>
  <si>
    <t>Aditya Kulkarni</t>
  </si>
  <si>
    <t>ORD-58442</t>
  </si>
  <si>
    <t>CUST004</t>
  </si>
  <si>
    <t>P-12</t>
  </si>
  <si>
    <t>ORD-83922</t>
  </si>
  <si>
    <t>CUST016</t>
  </si>
  <si>
    <t>Divya Nair</t>
  </si>
  <si>
    <t>ORD-44545</t>
  </si>
  <si>
    <t>CUST065</t>
  </si>
  <si>
    <t>ORD-16756</t>
  </si>
  <si>
    <t>CUST073</t>
  </si>
  <si>
    <t>ORD-92636</t>
  </si>
  <si>
    <t>ORD-29081</t>
  </si>
  <si>
    <t>CUST080</t>
  </si>
  <si>
    <t>P-11</t>
  </si>
  <si>
    <t>Priya Iyer</t>
  </si>
  <si>
    <t>ORD-87176</t>
  </si>
  <si>
    <t>CUST082</t>
  </si>
  <si>
    <t>ORD-98105</t>
  </si>
  <si>
    <t>ORD-30663</t>
  </si>
  <si>
    <t>CUST033</t>
  </si>
  <si>
    <t>ORD-72114</t>
  </si>
  <si>
    <t>CUST090</t>
  </si>
  <si>
    <t>ORD-47403</t>
  </si>
  <si>
    <t>CUST001</t>
  </si>
  <si>
    <t>ORD-93267</t>
  </si>
  <si>
    <t>CUST079</t>
  </si>
  <si>
    <t>ORD-47211</t>
  </si>
  <si>
    <t>ORD-21499</t>
  </si>
  <si>
    <t>CUST006</t>
  </si>
  <si>
    <t>ORD-17595</t>
  </si>
  <si>
    <t>CUST072</t>
  </si>
  <si>
    <t>Nisha Malhotra</t>
  </si>
  <si>
    <t>ORD-36330</t>
  </si>
  <si>
    <t>CUST012</t>
  </si>
  <si>
    <t>Rohit Verma</t>
  </si>
  <si>
    <t>ORD-57522</t>
  </si>
  <si>
    <t>CUST040</t>
  </si>
  <si>
    <t>ORD-85857</t>
  </si>
  <si>
    <t>CUST088</t>
  </si>
  <si>
    <t>Vikram Rao</t>
  </si>
  <si>
    <t>ORD-52725</t>
  </si>
  <si>
    <t>CUST093</t>
  </si>
  <si>
    <t>ORD-91308</t>
  </si>
  <si>
    <t>ORD-57876</t>
  </si>
  <si>
    <t>ORD-54281</t>
  </si>
  <si>
    <t>CUST064</t>
  </si>
  <si>
    <t>ORD-16859</t>
  </si>
  <si>
    <t>CUST099</t>
  </si>
  <si>
    <t>P-18</t>
  </si>
  <si>
    <t>ORD-23510</t>
  </si>
  <si>
    <t>CUST096</t>
  </si>
  <si>
    <t>P-06</t>
  </si>
  <si>
    <t>ORD-82707</t>
  </si>
  <si>
    <t>CUST010</t>
  </si>
  <si>
    <t>ORD-12086</t>
  </si>
  <si>
    <t>ORD-11890</t>
  </si>
  <si>
    <t>CUST008</t>
  </si>
  <si>
    <t>ORD-25499</t>
  </si>
  <si>
    <t>CUST069</t>
  </si>
  <si>
    <t>ORD-24570</t>
  </si>
  <si>
    <t>CUST017</t>
  </si>
  <si>
    <t>P-16</t>
  </si>
  <si>
    <t>Arjun Patel</t>
  </si>
  <si>
    <t>ORD-75840</t>
  </si>
  <si>
    <t>ORD-34484</t>
  </si>
  <si>
    <t>ORD-68298</t>
  </si>
  <si>
    <t>CUST089</t>
  </si>
  <si>
    <t>ORD-80800</t>
  </si>
  <si>
    <t>CUST087</t>
  </si>
  <si>
    <t>ORD-24015</t>
  </si>
  <si>
    <t>CUST078</t>
  </si>
  <si>
    <t>ORD-53304</t>
  </si>
  <si>
    <t>ORD-12596</t>
  </si>
  <si>
    <t>ORD-98180</t>
  </si>
  <si>
    <t>CUST083</t>
  </si>
  <si>
    <t>ORD-44892</t>
  </si>
  <si>
    <t>CUST044</t>
  </si>
  <si>
    <t>ORD-25539</t>
  </si>
  <si>
    <t>CUST038</t>
  </si>
  <si>
    <t>ORD-37390</t>
  </si>
  <si>
    <t>ORD-19687</t>
  </si>
  <si>
    <t>CUST086</t>
  </si>
  <si>
    <t>ORD-95845</t>
  </si>
  <si>
    <t>ORD-25567</t>
  </si>
  <si>
    <t>CUST067</t>
  </si>
  <si>
    <t>ORD-67428</t>
  </si>
  <si>
    <t>ORD-91307</t>
  </si>
  <si>
    <t>CUST022</t>
  </si>
  <si>
    <t>ORD-27877</t>
  </si>
  <si>
    <t>ORD-63472</t>
  </si>
  <si>
    <t>CUST068</t>
  </si>
  <si>
    <t>ORD-35476</t>
  </si>
  <si>
    <t>CUST062</t>
  </si>
  <si>
    <t>ORD-58638</t>
  </si>
  <si>
    <t>CUST066</t>
  </si>
  <si>
    <t>ORD-32035</t>
  </si>
  <si>
    <t>CUST020</t>
  </si>
  <si>
    <t>ORD-33940</t>
  </si>
  <si>
    <t>ORD-46425</t>
  </si>
  <si>
    <t>ORD-21096</t>
  </si>
  <si>
    <t>Shalini Chawla</t>
  </si>
  <si>
    <t>ORD-72634</t>
  </si>
  <si>
    <t>ORD-73006</t>
  </si>
  <si>
    <t>ORD-70264</t>
  </si>
  <si>
    <t>ORD-62397</t>
  </si>
  <si>
    <t>CUST030</t>
  </si>
  <si>
    <t>ORD-34720</t>
  </si>
  <si>
    <t>ORD-31547</t>
  </si>
  <si>
    <t>CUST023</t>
  </si>
  <si>
    <t>ORD-16476</t>
  </si>
  <si>
    <t>ORD-95137</t>
  </si>
  <si>
    <t>CUST074</t>
  </si>
  <si>
    <t>ORD-94932</t>
  </si>
  <si>
    <t>ORD-87418</t>
  </si>
  <si>
    <t>CUST095</t>
  </si>
  <si>
    <t>ORD-41418</t>
  </si>
  <si>
    <t>CUST043</t>
  </si>
  <si>
    <t>ORD-16086</t>
  </si>
  <si>
    <t>ORD-45859</t>
  </si>
  <si>
    <t>CUST049</t>
  </si>
  <si>
    <t>ORD-17908</t>
  </si>
  <si>
    <t>ORD-57953</t>
  </si>
  <si>
    <t>CUST021</t>
  </si>
  <si>
    <t>ORD-19141</t>
  </si>
  <si>
    <t>ORD-92055</t>
  </si>
  <si>
    <t>ORD-60823</t>
  </si>
  <si>
    <t>ORD-84621</t>
  </si>
  <si>
    <t>ORD-55378</t>
  </si>
  <si>
    <t>ORD-57762</t>
  </si>
  <si>
    <t>ORD-76988</t>
  </si>
  <si>
    <t>ORD-83907</t>
  </si>
  <si>
    <t>CUST032</t>
  </si>
  <si>
    <t>ORD-83289</t>
  </si>
  <si>
    <t>ORD-29589</t>
  </si>
  <si>
    <t>CUST084</t>
  </si>
  <si>
    <t>ORD-94937</t>
  </si>
  <si>
    <t>CUST052</t>
  </si>
  <si>
    <t>ORD-74871</t>
  </si>
  <si>
    <t>CUST002</t>
  </si>
  <si>
    <t>CUST003</t>
  </si>
  <si>
    <t>CUST011</t>
  </si>
  <si>
    <t>CUST015</t>
  </si>
  <si>
    <t>CUST019</t>
  </si>
  <si>
    <t>CUST024</t>
  </si>
  <si>
    <t>CUST025</t>
  </si>
  <si>
    <t>CUST027</t>
  </si>
  <si>
    <t>CUST028</t>
  </si>
  <si>
    <t>CUST029</t>
  </si>
  <si>
    <t>CUST031</t>
  </si>
  <si>
    <t>CUST034</t>
  </si>
  <si>
    <t>CUST035</t>
  </si>
  <si>
    <t>CUST036</t>
  </si>
  <si>
    <t>CUST037</t>
  </si>
  <si>
    <t>CUST041</t>
  </si>
  <si>
    <t>CUST042</t>
  </si>
  <si>
    <t>CUST046</t>
  </si>
  <si>
    <t>CUST050</t>
  </si>
  <si>
    <t>CUST053</t>
  </si>
  <si>
    <t>CUST055</t>
  </si>
  <si>
    <t>CUST057</t>
  </si>
  <si>
    <t>CUST058</t>
  </si>
  <si>
    <t>CUST059</t>
  </si>
  <si>
    <t>CUST060</t>
  </si>
  <si>
    <t>CUST061</t>
  </si>
  <si>
    <t>CUST063</t>
  </si>
  <si>
    <t>CUST070</t>
  </si>
  <si>
    <t>CUST075</t>
  </si>
  <si>
    <t>CUST076</t>
  </si>
  <si>
    <t>CUST081</t>
  </si>
  <si>
    <t>CUST091</t>
  </si>
  <si>
    <t>CUST094</t>
  </si>
  <si>
    <t>CUST097</t>
  </si>
  <si>
    <t>CUST098</t>
  </si>
  <si>
    <t>Diego Torres</t>
  </si>
  <si>
    <t>Sophia Miller</t>
  </si>
  <si>
    <t>Aiko Suzuki</t>
  </si>
  <si>
    <t>Daniel Brown</t>
  </si>
  <si>
    <t>Maria Fernandez</t>
  </si>
  <si>
    <t>Isabella Thomas</t>
  </si>
  <si>
    <t>Liam Smith</t>
  </si>
  <si>
    <t>Carlos Gomez</t>
  </si>
  <si>
    <t>Emma Wilson</t>
  </si>
  <si>
    <t>Sofia Ramirez</t>
  </si>
  <si>
    <t>Kenji Tanaka</t>
  </si>
  <si>
    <t>Hiroshi Yamamoto</t>
  </si>
  <si>
    <t>Olivia Taylor</t>
  </si>
  <si>
    <t>Noah Johnson</t>
  </si>
  <si>
    <t>James Anderson</t>
  </si>
  <si>
    <t>Ava Martin</t>
  </si>
  <si>
    <t>Coffe Type Name</t>
  </si>
  <si>
    <t>Roast Type Name</t>
  </si>
  <si>
    <t>2019</t>
  </si>
  <si>
    <t>2020</t>
  </si>
  <si>
    <t>2021</t>
  </si>
  <si>
    <t>2022</t>
  </si>
  <si>
    <t>2023</t>
  </si>
  <si>
    <t>2024</t>
  </si>
  <si>
    <t>Jan</t>
  </si>
  <si>
    <t>Feb</t>
  </si>
  <si>
    <t>Mar</t>
  </si>
  <si>
    <t>May</t>
  </si>
  <si>
    <t>Jul</t>
  </si>
  <si>
    <t>Sep</t>
  </si>
  <si>
    <t>Oct</t>
  </si>
  <si>
    <t>Nov</t>
  </si>
  <si>
    <t>Dec</t>
  </si>
  <si>
    <t>Aug</t>
  </si>
  <si>
    <t>Years (Order Date)</t>
  </si>
  <si>
    <t>Months (Order Date)</t>
  </si>
  <si>
    <t>Excel</t>
  </si>
  <si>
    <t>Rob</t>
  </si>
  <si>
    <t>Ara</t>
  </si>
  <si>
    <t>Sum of Sales</t>
  </si>
  <si>
    <t>Loyalty card</t>
  </si>
  <si>
    <t>Phone Number</t>
  </si>
  <si>
    <t>Address Line 1</t>
  </si>
  <si>
    <t>City</t>
  </si>
  <si>
    <t>Postcode</t>
  </si>
  <si>
    <t>Loyalty Card</t>
  </si>
  <si>
    <t>customer@dummy.com</t>
  </si>
  <si>
    <t>+91 9828874750</t>
  </si>
  <si>
    <t>637 Main Street</t>
  </si>
  <si>
    <t>Brisbane</t>
  </si>
  <si>
    <t>Australia</t>
  </si>
  <si>
    <t>493589</t>
  </si>
  <si>
    <t>Yes</t>
  </si>
  <si>
    <t>+91 9452397619</t>
  </si>
  <si>
    <t>475 Main Street</t>
  </si>
  <si>
    <t>Los Angeles</t>
  </si>
  <si>
    <t>USA</t>
  </si>
  <si>
    <t>578804</t>
  </si>
  <si>
    <t>+91 9961784948</t>
  </si>
  <si>
    <t>301 Main Street</t>
  </si>
  <si>
    <t>Tirunelveli</t>
  </si>
  <si>
    <t>India</t>
  </si>
  <si>
    <t>800364</t>
  </si>
  <si>
    <t>No</t>
  </si>
  <si>
    <t>+91 9209577373</t>
  </si>
  <si>
    <t>750 Main Street</t>
  </si>
  <si>
    <t>Berlin</t>
  </si>
  <si>
    <t>Germany</t>
  </si>
  <si>
    <t>417832</t>
  </si>
  <si>
    <t>+91 9342029082</t>
  </si>
  <si>
    <t>302 Main Street</t>
  </si>
  <si>
    <t>London</t>
  </si>
  <si>
    <t>UK</t>
  </si>
  <si>
    <t>905899</t>
  </si>
  <si>
    <t>+91 9965285535</t>
  </si>
  <si>
    <t>226 Main Street</t>
  </si>
  <si>
    <t>Ottawa</t>
  </si>
  <si>
    <t>Canada</t>
  </si>
  <si>
    <t>310815</t>
  </si>
  <si>
    <t>+91 9924403882</t>
  </si>
  <si>
    <t>410 Main Street</t>
  </si>
  <si>
    <t>830703</t>
  </si>
  <si>
    <t>+91 9772499291</t>
  </si>
  <si>
    <t>92 Main Street</t>
  </si>
  <si>
    <t>Chicago</t>
  </si>
  <si>
    <t>387931</t>
  </si>
  <si>
    <t>+91 9113831351</t>
  </si>
  <si>
    <t>380 Main Street</t>
  </si>
  <si>
    <t>Vancouver</t>
  </si>
  <si>
    <t>610214</t>
  </si>
  <si>
    <t>+91 9456617365</t>
  </si>
  <si>
    <t>237 Main Street</t>
  </si>
  <si>
    <t>Perth</t>
  </si>
  <si>
    <t>656971</t>
  </si>
  <si>
    <t>+91 9946691252</t>
  </si>
  <si>
    <t>128 Main Street</t>
  </si>
  <si>
    <t>Austin</t>
  </si>
  <si>
    <t>283647</t>
  </si>
  <si>
    <t>+91 9481564099</t>
  </si>
  <si>
    <t>894 Main Street</t>
  </si>
  <si>
    <t>New York</t>
  </si>
  <si>
    <t>106435</t>
  </si>
  <si>
    <t>+91 9809523953</t>
  </si>
  <si>
    <t>659 Main Street</t>
  </si>
  <si>
    <t>Chennai</t>
  </si>
  <si>
    <t>528358</t>
  </si>
  <si>
    <t>+91 9375528522</t>
  </si>
  <si>
    <t>393 Main Street</t>
  </si>
  <si>
    <t>93686</t>
  </si>
  <si>
    <t>+91 9655174471</t>
  </si>
  <si>
    <t>41 Main Street</t>
  </si>
  <si>
    <t>109695</t>
  </si>
  <si>
    <t>+91 9978869098</t>
  </si>
  <si>
    <t>400 Main Street</t>
  </si>
  <si>
    <t>779174</t>
  </si>
  <si>
    <t>+91 9668479539</t>
  </si>
  <si>
    <t>244 Main Street</t>
  </si>
  <si>
    <t>Manchester</t>
  </si>
  <si>
    <t>849527</t>
  </si>
  <si>
    <t>+91 9869813769</t>
  </si>
  <si>
    <t>115 Main Street</t>
  </si>
  <si>
    <t>620529</t>
  </si>
  <si>
    <t>+91 9907563540</t>
  </si>
  <si>
    <t>33 Main Street</t>
  </si>
  <si>
    <t>662189</t>
  </si>
  <si>
    <t>+91 9630457462</t>
  </si>
  <si>
    <t>917 Main Street</t>
  </si>
  <si>
    <t>139831</t>
  </si>
  <si>
    <t>+91 9776676488</t>
  </si>
  <si>
    <t>225 Main Street</t>
  </si>
  <si>
    <t>Birmingham</t>
  </si>
  <si>
    <t>291417</t>
  </si>
  <si>
    <t>+91 9119696852</t>
  </si>
  <si>
    <t>511 Main Street</t>
  </si>
  <si>
    <t>Melbourne</t>
  </si>
  <si>
    <t>743849</t>
  </si>
  <si>
    <t>+91 9758294578</t>
  </si>
  <si>
    <t>999 Main Street</t>
  </si>
  <si>
    <t>153372</t>
  </si>
  <si>
    <t>+91 9423644016</t>
  </si>
  <si>
    <t>309 Main Street</t>
  </si>
  <si>
    <t>Erode</t>
  </si>
  <si>
    <t>293284</t>
  </si>
  <si>
    <t>+91 9581615565</t>
  </si>
  <si>
    <t>344 Main Street</t>
  </si>
  <si>
    <t>Hyderabad</t>
  </si>
  <si>
    <t>98595</t>
  </si>
  <si>
    <t>+91 9107585741</t>
  </si>
  <si>
    <t>548 Main Street</t>
  </si>
  <si>
    <t>Hamburg</t>
  </si>
  <si>
    <t>562167</t>
  </si>
  <si>
    <t>+91 9275282103</t>
  </si>
  <si>
    <t>931 Main Street</t>
  </si>
  <si>
    <t>Houston</t>
  </si>
  <si>
    <t>962581</t>
  </si>
  <si>
    <t>+91 9651356775</t>
  </si>
  <si>
    <t>461 Main Street</t>
  </si>
  <si>
    <t>470261</t>
  </si>
  <si>
    <t>+91 9641127734</t>
  </si>
  <si>
    <t>188 Main Street</t>
  </si>
  <si>
    <t>Leeds</t>
  </si>
  <si>
    <t>839155</t>
  </si>
  <si>
    <t>+91 9901201085</t>
  </si>
  <si>
    <t>82 Main Street</t>
  </si>
  <si>
    <t>742838</t>
  </si>
  <si>
    <t>+91 9399403861</t>
  </si>
  <si>
    <t>122 Main Street</t>
  </si>
  <si>
    <t>San Jose</t>
  </si>
  <si>
    <t>345738</t>
  </si>
  <si>
    <t>+91 9824012274</t>
  </si>
  <si>
    <t>100 Main Street</t>
  </si>
  <si>
    <t>Coimbatore</t>
  </si>
  <si>
    <t>981892</t>
  </si>
  <si>
    <t>+91 9516225672</t>
  </si>
  <si>
    <t>261 Main Street</t>
  </si>
  <si>
    <t>735152</t>
  </si>
  <si>
    <t>+91 9266761161</t>
  </si>
  <si>
    <t>750019</t>
  </si>
  <si>
    <t>+91 9705486700</t>
  </si>
  <si>
    <t>466 Main Street</t>
  </si>
  <si>
    <t>300320</t>
  </si>
  <si>
    <t>+91 9937309101</t>
  </si>
  <si>
    <t>460 Main Street</t>
  </si>
  <si>
    <t>478006</t>
  </si>
  <si>
    <t>+91 9750827751</t>
  </si>
  <si>
    <t>273 Main Street</t>
  </si>
  <si>
    <t>366610</t>
  </si>
  <si>
    <t>+91 9609730566</t>
  </si>
  <si>
    <t>288 Main Street</t>
  </si>
  <si>
    <t>543207</t>
  </si>
  <si>
    <t>+91 9155606316</t>
  </si>
  <si>
    <t>453459</t>
  </si>
  <si>
    <t>+91 9915871173</t>
  </si>
  <si>
    <t>712 Main Street</t>
  </si>
  <si>
    <t>Bangalore</t>
  </si>
  <si>
    <t>212825</t>
  </si>
  <si>
    <t>+91 9351677505</t>
  </si>
  <si>
    <t>228 Main Street</t>
  </si>
  <si>
    <t>Toronto</t>
  </si>
  <si>
    <t>916470</t>
  </si>
  <si>
    <t>+91 9718084203</t>
  </si>
  <si>
    <t>133 Main Street</t>
  </si>
  <si>
    <t>797519</t>
  </si>
  <si>
    <t>+91 9570456037</t>
  </si>
  <si>
    <t>805 Main Street</t>
  </si>
  <si>
    <t>Frankfurt</t>
  </si>
  <si>
    <t>173862</t>
  </si>
  <si>
    <t>+91 9492348411</t>
  </si>
  <si>
    <t>701 Main Street</t>
  </si>
  <si>
    <t>282903</t>
  </si>
  <si>
    <t>+91 9607277708</t>
  </si>
  <si>
    <t>724 Main Street</t>
  </si>
  <si>
    <t>886523</t>
  </si>
  <si>
    <t>+91 9860319312</t>
  </si>
  <si>
    <t>868 Main Street</t>
  </si>
  <si>
    <t>Sydney</t>
  </si>
  <si>
    <t>383709</t>
  </si>
  <si>
    <t>+91 9400725024</t>
  </si>
  <si>
    <t>66 Main Street</t>
  </si>
  <si>
    <t>676696</t>
  </si>
  <si>
    <t>+91 9906276030</t>
  </si>
  <si>
    <t>945 Main Street</t>
  </si>
  <si>
    <t>640599</t>
  </si>
  <si>
    <t>+91 9698949129</t>
  </si>
  <si>
    <t>862 Main Street</t>
  </si>
  <si>
    <t>397526</t>
  </si>
  <si>
    <t>+91 9951715138</t>
  </si>
  <si>
    <t>165 Main Street</t>
  </si>
  <si>
    <t>624202</t>
  </si>
  <si>
    <t>+91 9968619837</t>
  </si>
  <si>
    <t>447 Main Street</t>
  </si>
  <si>
    <t>Calgary</t>
  </si>
  <si>
    <t>190658</t>
  </si>
  <si>
    <t>+91 9465675005</t>
  </si>
  <si>
    <t>995 Main Street</t>
  </si>
  <si>
    <t>15268</t>
  </si>
  <si>
    <t>+91 9924571333</t>
  </si>
  <si>
    <t>604 Main Street</t>
  </si>
  <si>
    <t>350117</t>
  </si>
  <si>
    <t>+91 9838521891</t>
  </si>
  <si>
    <t>535 Main Street</t>
  </si>
  <si>
    <t>Bristol</t>
  </si>
  <si>
    <t>79565</t>
  </si>
  <si>
    <t>+91 9248383227</t>
  </si>
  <si>
    <t>430 Main Street</t>
  </si>
  <si>
    <t>Munich</t>
  </si>
  <si>
    <t>612650</t>
  </si>
  <si>
    <t>+91 9240513402</t>
  </si>
  <si>
    <t>30 Main Street</t>
  </si>
  <si>
    <t>937458</t>
  </si>
  <si>
    <t>+91 9609393144</t>
  </si>
  <si>
    <t>857 Main Street</t>
  </si>
  <si>
    <t>628202</t>
  </si>
  <si>
    <t>+91 9957040620</t>
  </si>
  <si>
    <t>902 Main Street</t>
  </si>
  <si>
    <t>296299</t>
  </si>
  <si>
    <t>+91 9482736930</t>
  </si>
  <si>
    <t>287 Main Street</t>
  </si>
  <si>
    <t>Trichy</t>
  </si>
  <si>
    <t>450375</t>
  </si>
  <si>
    <t>+91 9666076409</t>
  </si>
  <si>
    <t>788 Main Street</t>
  </si>
  <si>
    <t>441630</t>
  </si>
  <si>
    <t>+91 9192883589</t>
  </si>
  <si>
    <t>560 Main Street</t>
  </si>
  <si>
    <t>958779</t>
  </si>
  <si>
    <t>+91 9581296801</t>
  </si>
  <si>
    <t>169 Main Street</t>
  </si>
  <si>
    <t>771285</t>
  </si>
  <si>
    <t>+91 9353096726</t>
  </si>
  <si>
    <t>341941</t>
  </si>
  <si>
    <t>+91 9727176836</t>
  </si>
  <si>
    <t>158 Main Street</t>
  </si>
  <si>
    <t>535101</t>
  </si>
  <si>
    <t>+91 9392928605</t>
  </si>
  <si>
    <t>968 Main Street</t>
  </si>
  <si>
    <t>251182</t>
  </si>
  <si>
    <t>+91 9463893187</t>
  </si>
  <si>
    <t>56 Main Street</t>
  </si>
  <si>
    <t>583201</t>
  </si>
  <si>
    <t>+91 9313921396</t>
  </si>
  <si>
    <t>678 Main Street</t>
  </si>
  <si>
    <t>150298</t>
  </si>
  <si>
    <t>+91 9556336967</t>
  </si>
  <si>
    <t>186 Main Street</t>
  </si>
  <si>
    <t>122294</t>
  </si>
  <si>
    <t>+91 9458000397</t>
  </si>
  <si>
    <t>121 Main Street</t>
  </si>
  <si>
    <t>14047</t>
  </si>
  <si>
    <t>+91 9523051778</t>
  </si>
  <si>
    <t>72 Main Street</t>
  </si>
  <si>
    <t>902073</t>
  </si>
  <si>
    <t>+91 9425431489</t>
  </si>
  <si>
    <t>462 Main Street</t>
  </si>
  <si>
    <t>308182</t>
  </si>
  <si>
    <t>+91 9280047906</t>
  </si>
  <si>
    <t>276 Main Street</t>
  </si>
  <si>
    <t>554427</t>
  </si>
  <si>
    <t>+91 9616140488</t>
  </si>
  <si>
    <t>537 Main Street</t>
  </si>
  <si>
    <t>Salem</t>
  </si>
  <si>
    <t>665100</t>
  </si>
  <si>
    <t>+91 9988287513</t>
  </si>
  <si>
    <t>501 Main Street</t>
  </si>
  <si>
    <t>91962</t>
  </si>
  <si>
    <t>+91 9457890300</t>
  </si>
  <si>
    <t>343 Main Street</t>
  </si>
  <si>
    <t>699918</t>
  </si>
  <si>
    <t>+91 9751099165</t>
  </si>
  <si>
    <t>657364</t>
  </si>
  <si>
    <t>+91 9712924291</t>
  </si>
  <si>
    <t>93 Main Street</t>
  </si>
  <si>
    <t>601731</t>
  </si>
  <si>
    <t>+91 9992871231</t>
  </si>
  <si>
    <t>290 Main Street</t>
  </si>
  <si>
    <t>425766</t>
  </si>
  <si>
    <t>+91 9914639498</t>
  </si>
  <si>
    <t>521 Main Street</t>
  </si>
  <si>
    <t>376753</t>
  </si>
  <si>
    <t>+91 9682063877</t>
  </si>
  <si>
    <t>745317</t>
  </si>
  <si>
    <t>+91 9573518171</t>
  </si>
  <si>
    <t>465 Main Street</t>
  </si>
  <si>
    <t>85740</t>
  </si>
  <si>
    <t>+91 9198832440</t>
  </si>
  <si>
    <t>274 Main Street</t>
  </si>
  <si>
    <t>633061</t>
  </si>
  <si>
    <t>+91 9904239254</t>
  </si>
  <si>
    <t>46 Main Street</t>
  </si>
  <si>
    <t>722255</t>
  </si>
  <si>
    <t>+91 9443735071</t>
  </si>
  <si>
    <t>847 Main Street</t>
  </si>
  <si>
    <t>990976</t>
  </si>
  <si>
    <t>+91 9359648103</t>
  </si>
  <si>
    <t>552 Main Street</t>
  </si>
  <si>
    <t>292877</t>
  </si>
  <si>
    <t>+91 9239794896</t>
  </si>
  <si>
    <t>151 Main Street</t>
  </si>
  <si>
    <t>75572</t>
  </si>
  <si>
    <t>+91 9713981328</t>
  </si>
  <si>
    <t>682 Main Street</t>
  </si>
  <si>
    <t>865911</t>
  </si>
  <si>
    <t>+91 9299162331</t>
  </si>
  <si>
    <t>976 Main Street</t>
  </si>
  <si>
    <t>497698</t>
  </si>
  <si>
    <t>+91 9691706714</t>
  </si>
  <si>
    <t>580656</t>
  </si>
  <si>
    <t>+91 9430081233</t>
  </si>
  <si>
    <t>341 Main Street</t>
  </si>
  <si>
    <t>286194</t>
  </si>
  <si>
    <t>+91 9320607800</t>
  </si>
  <si>
    <t>881 Main Street</t>
  </si>
  <si>
    <t>773105</t>
  </si>
  <si>
    <t>+91 9261910638</t>
  </si>
  <si>
    <t>221 Main Street</t>
  </si>
  <si>
    <t>859484</t>
  </si>
  <si>
    <t>+91 9439996502</t>
  </si>
  <si>
    <t>905 Main Street</t>
  </si>
  <si>
    <t>441948</t>
  </si>
  <si>
    <t>+91 9892261381</t>
  </si>
  <si>
    <t>569 Main Street</t>
  </si>
  <si>
    <t>207510</t>
  </si>
  <si>
    <t>+91 9753317815</t>
  </si>
  <si>
    <t>235 Main Street</t>
  </si>
  <si>
    <t>976421</t>
  </si>
  <si>
    <t>+91 9591854972</t>
  </si>
  <si>
    <t>138 Main Street</t>
  </si>
  <si>
    <t>569782</t>
  </si>
  <si>
    <t>+91 9233587686</t>
  </si>
  <si>
    <t>588 Main Street</t>
  </si>
  <si>
    <t>320845</t>
  </si>
  <si>
    <t>+91 9605456978</t>
  </si>
  <si>
    <t>723 Main Street</t>
  </si>
  <si>
    <t>938880</t>
  </si>
  <si>
    <t>+91 9900644686</t>
  </si>
  <si>
    <t>583 Main Street</t>
  </si>
  <si>
    <t>198480</t>
  </si>
  <si>
    <t>Price per 100g</t>
  </si>
  <si>
    <t>Profit</t>
  </si>
  <si>
    <t>Robusta</t>
  </si>
  <si>
    <t>M</t>
  </si>
  <si>
    <t>Arabica</t>
  </si>
  <si>
    <t>D</t>
  </si>
  <si>
    <t>Liberica</t>
  </si>
  <si>
    <t>L</t>
  </si>
  <si>
    <t>Excelsa</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</si>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</sst>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m/yyyy"/>
    <numFmt numFmtId="165" formatCode="[$$-409]#,##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164" fontId="0" fillId="0" borderId="0" xfId="0" applyNumberFormat="1"/>
    <xf numFmtId="3" fontId="0" fillId="0" borderId="0" xfId="0" applyNumberFormat="1"/>
    <xf numFmtId="165" fontId="0" fillId="0" borderId="0" xfId="0" applyNumberFormat="1"/>
  </cellXfs>
  <cellStyles count="1">
    <cellStyle name="Normal" xfId="0" builtinId="0"/>
  </cellStyles>
  <dxfs count="6">
    <dxf>
      <numFmt numFmtId="0" formatCode="General"/>
    </dxf>
    <dxf>
      <numFmt numFmtId="164" formatCode="dd/mmm/yyyy"/>
    </dxf>
    <dxf>
      <font>
        <b val="0"/>
        <i val="0"/>
        <sz val="11"/>
        <color theme="0"/>
        <name val="Calibri"/>
        <family val="2"/>
        <scheme val="minor"/>
      </font>
    </dxf>
    <dxf>
      <font>
        <b/>
        <i val="0"/>
        <sz val="11"/>
        <color rgb="FFC299EB"/>
        <name val="Calibri"/>
        <family val="2"/>
        <scheme val="minor"/>
      </font>
      <fill>
        <patternFill patternType="solid">
          <fgColor theme="0"/>
          <bgColor rgb="FFA46AD4"/>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name val="Calibri"/>
        <family val="2"/>
        <scheme val="minor"/>
      </font>
      <border>
        <left style="thin">
          <color theme="0"/>
        </left>
        <right style="thin">
          <color theme="0"/>
        </right>
        <top style="thin">
          <color theme="0"/>
        </top>
        <bottom style="thin">
          <color theme="0"/>
        </bottom>
      </border>
    </dxf>
    <dxf>
      <font>
        <b val="0"/>
        <i val="0"/>
        <sz val="10"/>
        <name val="Calibri"/>
        <family val="2"/>
        <scheme val="minor"/>
      </font>
      <fill>
        <patternFill>
          <bgColor rgb="FF3C1464"/>
        </patternFill>
      </fill>
    </dxf>
  </dxfs>
  <tableStyles count="2" defaultTableStyle="TableStyleMedium9" defaultPivotStyle="PivotStyleLight16">
    <tableStyle name="Purple slicer style" pivot="0" table="0" count="6" xr9:uid="{E20EE9CA-AFD3-4DFD-BBA2-D96BCE55BB43}">
      <tableStyleElement type="wholeTable" dxfId="5"/>
      <tableStyleElement type="headerRow" dxfId="4"/>
    </tableStyle>
    <tableStyle name="Purple Timeline style" pivot="0" table="0" count="8" xr9:uid="{C84E25B1-EE1D-426B-9B7C-CB76B62D1520}">
      <tableStyleElement type="wholeTable" dxfId="3"/>
      <tableStyleElement type="headerRow" dxfId="2"/>
    </tableStyle>
  </tableStyles>
  <colors>
    <mruColors>
      <color rgb="FFC299EB"/>
      <color rgb="FF4FFF9F"/>
      <color rgb="FF00C057"/>
      <color rgb="FF00823B"/>
      <color rgb="FF000000"/>
      <color rgb="FFA46AD4"/>
      <color rgb="FF3C1464"/>
      <color rgb="FF7326C0"/>
      <color rgb="FFE2CFF1"/>
      <color rgb="FF040107"/>
    </mruColors>
  </colors>
  <extLst>
    <ext xmlns:x14="http://schemas.microsoft.com/office/spreadsheetml/2009/9/main" uri="{46F421CA-312F-682f-3DD2-61675219B42D}">
      <x14:dxfs count="4">
        <dxf>
          <font>
            <b/>
            <i val="0"/>
            <sz val="10"/>
            <color theme="0"/>
            <name val="Calibri"/>
            <family val="2"/>
            <scheme val="minor"/>
          </font>
          <border>
            <left style="thin">
              <color theme="0"/>
            </left>
            <right style="thin">
              <color theme="0"/>
            </right>
            <top style="thin">
              <color theme="0"/>
            </top>
            <bottom style="thin">
              <color theme="0"/>
            </bottom>
          </border>
        </dxf>
        <dxf>
          <font>
            <b/>
            <i val="0"/>
            <sz val="10"/>
            <color theme="0"/>
            <name val="Calibri"/>
            <family val="2"/>
            <scheme val="minor"/>
          </font>
          <border diagonalUp="0" diagonalDown="0">
            <left style="thin">
              <color theme="0"/>
            </left>
            <right style="thin">
              <color theme="0"/>
            </right>
            <top style="thin">
              <color theme="0"/>
            </top>
            <bottom style="thin">
              <color theme="0"/>
            </bottom>
            <vertical/>
            <horizontal/>
          </border>
        </dxf>
        <dxf>
          <font>
            <b val="0"/>
            <i val="0"/>
            <strike/>
            <sz val="10"/>
            <color theme="0"/>
            <name val="Calibri"/>
            <family val="2"/>
            <scheme val="minor"/>
          </font>
          <border>
            <left style="thin">
              <color auto="1"/>
            </left>
            <right style="thin">
              <color auto="1"/>
            </right>
            <top style="thin">
              <color auto="1"/>
            </top>
            <bottom style="thin">
              <color auto="1"/>
            </bottom>
          </border>
        </dxf>
        <dxf>
          <font>
            <b val="0"/>
            <i val="0"/>
            <strike/>
            <sz val="10"/>
            <color theme="0"/>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x14:dxfs>
    </ext>
    <ext xmlns:x14="http://schemas.microsoft.com/office/spreadsheetml/2009/9/main" uri="{EB79DEF2-80B8-43e5-95BD-54CBDDF9020C}">
      <x14:slicerStyles defaultSlicerStyle="SlicerStyleLight1">
        <x14:slicerStyle name="Purple slicer style">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border diagonalUp="0" diagonalDown="0">
            <left/>
            <right/>
            <top/>
            <bottom/>
            <vertical/>
            <horizontal/>
          </border>
        </dxf>
        <dxf>
          <fill>
            <patternFill patternType="solid">
              <fgColor theme="0"/>
              <bgColor rgb="FF7326C0"/>
            </patternFill>
          </fill>
        </dxf>
        <dxf>
          <font>
            <b val="0"/>
            <i val="0"/>
            <sz val="9"/>
            <color theme="0"/>
            <name val="Calibri"/>
            <family val="2"/>
            <scheme val="minor"/>
          </font>
        </dxf>
        <dxf>
          <font>
            <b val="0"/>
            <i val="0"/>
            <sz val="9"/>
            <color theme="0"/>
            <name val="Calibri"/>
            <family val="2"/>
            <scheme val="minor"/>
          </font>
        </dxf>
        <dxf>
          <font>
            <b val="0"/>
            <i val="0"/>
            <sz val="9"/>
            <color theme="0"/>
            <name val="Calibri"/>
            <family val="2"/>
            <scheme val="minor"/>
          </font>
        </dxf>
        <dxf>
          <font>
            <b val="0"/>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externalLink" Target="externalLinks/externalLink3.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[Coffee_Shop_Project.xlsx]Total Sales!Total Sales</c:name>
    <c:fmtId val="33"/>
  </c:pivotSource>
  <c:chart>
    <c:title>
      <c:tx>
        <c:rich>
          <a:bodyPr rot="0" spcFirstLastPara="1" vertOverflow="ellipsis" vert="horz" wrap="square" anchor="ctr" anchorCtr="1"/>
          <a:lstStyle/>
          <a:p>
            <a:pPr>
              <a:defRPr sz="1400" b="0" i="0" u="none" strike="noStrike" kern="1200" spc="0" baseline="0">
                <a:solidFill>
                  <a:srgbClr val="040107"/>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40107"/>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4010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4010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4010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4010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4010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4010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4010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4010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4010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4010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4010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4010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4010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4010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'Total Sales'!$C$3:$C$4</c:f>
              <c:strCache>
                <c:ptCount val="1"/>
                <c:pt idx="0">
                  <c:v>Ara</c:v>
                </c:pt>
              </c:strCache>
            </c:strRef>
          </c:tx>
          <c:spPr>
            <a:ln w="28575" cap="rnd">
              <a:solidFill>
                <a:srgbClr val="00B0F0"/>
              </a:solidFill>
              <a:round/>
            </a:ln>
            <a:effectLst/>
          </c:spPr>
          <c:marker>
            <c:symbol val="none"/>
          </c:marker>
          <c:cat>
            <c:multiLvlStrRef>
              <c:f>'Total Sales'!$A$5:$B$27</c:f>
              <c:multiLvlStrCache>
                <c:ptCount val="23"/>
                <c:lvl>
                  <c:pt idx="0">
                    <c:v>Jan</c:v>
                  </c:pt>
                  <c:pt idx="1">
                    <c:v>May</c:v>
                  </c:pt>
                  <c:pt idx="2">
                    <c:v>Sep</c:v>
                  </c:pt>
                  <c:pt idx="3">
                    <c:v>May</c:v>
                  </c:pt>
                  <c:pt idx="4">
                    <c:v>Jul</c:v>
                  </c:pt>
                  <c:pt idx="5">
                    <c:v>Jan</c:v>
                  </c:pt>
                  <c:pt idx="6">
                    <c:v>Feb</c:v>
                  </c:pt>
                  <c:pt idx="7">
                    <c:v>May</c:v>
                  </c:pt>
                  <c:pt idx="8">
                    <c:v>Jul</c:v>
                  </c:pt>
                  <c:pt idx="9">
                    <c:v>Aug</c:v>
                  </c:pt>
                  <c:pt idx="10">
                    <c:v>Sep</c:v>
                  </c:pt>
                  <c:pt idx="11">
                    <c:v>Jan</c:v>
                  </c:pt>
                  <c:pt idx="12">
                    <c:v>Mar</c:v>
                  </c:pt>
                  <c:pt idx="13">
                    <c:v>May</c:v>
                  </c:pt>
                  <c:pt idx="14">
                    <c:v>Sep</c:v>
                  </c:pt>
                  <c:pt idx="15">
                    <c:v>Oct</c:v>
                  </c:pt>
                  <c:pt idx="16">
                    <c:v>Dec</c:v>
                  </c:pt>
                  <c:pt idx="17">
                    <c:v>Mar</c:v>
                  </c:pt>
                  <c:pt idx="18">
                    <c:v>May</c:v>
                  </c:pt>
                  <c:pt idx="19">
                    <c:v>Jul</c:v>
                  </c:pt>
                  <c:pt idx="20">
                    <c:v>Sep</c:v>
                  </c:pt>
                  <c:pt idx="21">
                    <c:v>Nov</c:v>
                  </c:pt>
                  <c:pt idx="22">
                    <c:v>Jan</c:v>
                  </c:pt>
                </c:lvl>
                <c:lvl>
                  <c:pt idx="0">
                    <c:v>2019</c:v>
                  </c:pt>
                  <c:pt idx="3">
                    <c:v>2020</c:v>
                  </c:pt>
                  <c:pt idx="5">
                    <c:v>2021</c:v>
                  </c:pt>
                  <c:pt idx="11">
                    <c:v>2022</c:v>
                  </c:pt>
                  <c:pt idx="17">
                    <c:v>2023</c:v>
                  </c:pt>
                  <c:pt idx="22">
                    <c:v>2024</c:v>
                  </c:pt>
                </c:lvl>
              </c:multiLvlStrCache>
            </c:multiLvlStrRef>
          </c:cat>
          <c:val>
            <c:numRef>
              <c:f>'Total Sales'!$C$5:$C$27</c:f>
              <c:numCache>
                <c:formatCode>#,##0</c:formatCode>
                <c:ptCount val="23"/>
                <c:pt idx="1">
                  <c:v>306.25</c:v>
                </c:pt>
                <c:pt idx="6">
                  <c:v>373.11599999999999</c:v>
                </c:pt>
                <c:pt idx="8">
                  <c:v>559.67399999999998</c:v>
                </c:pt>
                <c:pt idx="9">
                  <c:v>93.278999999999996</c:v>
                </c:pt>
                <c:pt idx="10">
                  <c:v>323.11200000000002</c:v>
                </c:pt>
                <c:pt idx="11">
                  <c:v>428.75</c:v>
                </c:pt>
                <c:pt idx="13">
                  <c:v>93.278999999999996</c:v>
                </c:pt>
                <c:pt idx="14">
                  <c:v>466.39499999999998</c:v>
                </c:pt>
                <c:pt idx="15">
                  <c:v>122.5</c:v>
                </c:pt>
                <c:pt idx="16">
                  <c:v>466.39499999999998</c:v>
                </c:pt>
                <c:pt idx="17">
                  <c:v>80.778000000000006</c:v>
                </c:pt>
                <c:pt idx="18">
                  <c:v>279.83699999999999</c:v>
                </c:pt>
                <c:pt idx="19">
                  <c:v>245</c:v>
                </c:pt>
                <c:pt idx="20">
                  <c:v>403.89</c:v>
                </c:pt>
                <c:pt idx="21">
                  <c:v>80.778000000000006</c:v>
                </c:pt>
                <c:pt idx="22">
                  <c:v>279.83699999999999</c:v>
                </c:pt>
              </c:numCache>
            </c:numRef>
          </c:val>
          <c:smooth val="0"/>
          <c:extLst>
            <c:ext xmlns:c16="http://schemas.microsoft.com/office/drawing/2014/chart" uri="{C3380CC4-5D6E-409C-BE32-E72D297353CC}">
              <c16:uniqueId val="{0000000C-DD6F-437D-984B-1282449CB7EC}"/>
            </c:ext>
          </c:extLst>
        </c:ser>
        <c:ser>
          <c:idx val="1"/>
          <c:order val="1"/>
          <c:tx>
            <c:strRef>
              <c:f>'Total Sales'!$D$3:$D$4</c:f>
              <c:strCache>
                <c:ptCount val="1"/>
                <c:pt idx="0">
                  <c:v>Excel</c:v>
                </c:pt>
              </c:strCache>
            </c:strRef>
          </c:tx>
          <c:spPr>
            <a:ln w="28575" cap="rnd">
              <a:solidFill>
                <a:schemeClr val="accent2"/>
              </a:solidFill>
              <a:round/>
            </a:ln>
            <a:effectLst/>
          </c:spPr>
          <c:marker>
            <c:symbol val="none"/>
          </c:marker>
          <c:cat>
            <c:multiLvlStrRef>
              <c:f>'Total Sales'!$A$5:$B$27</c:f>
              <c:multiLvlStrCache>
                <c:ptCount val="23"/>
                <c:lvl>
                  <c:pt idx="0">
                    <c:v>Jan</c:v>
                  </c:pt>
                  <c:pt idx="1">
                    <c:v>May</c:v>
                  </c:pt>
                  <c:pt idx="2">
                    <c:v>Sep</c:v>
                  </c:pt>
                  <c:pt idx="3">
                    <c:v>May</c:v>
                  </c:pt>
                  <c:pt idx="4">
                    <c:v>Jul</c:v>
                  </c:pt>
                  <c:pt idx="5">
                    <c:v>Jan</c:v>
                  </c:pt>
                  <c:pt idx="6">
                    <c:v>Feb</c:v>
                  </c:pt>
                  <c:pt idx="7">
                    <c:v>May</c:v>
                  </c:pt>
                  <c:pt idx="8">
                    <c:v>Jul</c:v>
                  </c:pt>
                  <c:pt idx="9">
                    <c:v>Aug</c:v>
                  </c:pt>
                  <c:pt idx="10">
                    <c:v>Sep</c:v>
                  </c:pt>
                  <c:pt idx="11">
                    <c:v>Jan</c:v>
                  </c:pt>
                  <c:pt idx="12">
                    <c:v>Mar</c:v>
                  </c:pt>
                  <c:pt idx="13">
                    <c:v>May</c:v>
                  </c:pt>
                  <c:pt idx="14">
                    <c:v>Sep</c:v>
                  </c:pt>
                  <c:pt idx="15">
                    <c:v>Oct</c:v>
                  </c:pt>
                  <c:pt idx="16">
                    <c:v>Dec</c:v>
                  </c:pt>
                  <c:pt idx="17">
                    <c:v>Mar</c:v>
                  </c:pt>
                  <c:pt idx="18">
                    <c:v>May</c:v>
                  </c:pt>
                  <c:pt idx="19">
                    <c:v>Jul</c:v>
                  </c:pt>
                  <c:pt idx="20">
                    <c:v>Sep</c:v>
                  </c:pt>
                  <c:pt idx="21">
                    <c:v>Nov</c:v>
                  </c:pt>
                  <c:pt idx="22">
                    <c:v>Jan</c:v>
                  </c:pt>
                </c:lvl>
                <c:lvl>
                  <c:pt idx="0">
                    <c:v>2019</c:v>
                  </c:pt>
                  <c:pt idx="3">
                    <c:v>2020</c:v>
                  </c:pt>
                  <c:pt idx="5">
                    <c:v>2021</c:v>
                  </c:pt>
                  <c:pt idx="11">
                    <c:v>2022</c:v>
                  </c:pt>
                  <c:pt idx="17">
                    <c:v>2023</c:v>
                  </c:pt>
                  <c:pt idx="22">
                    <c:v>2024</c:v>
                  </c:pt>
                </c:lvl>
              </c:multiLvlStrCache>
            </c:multiLvlStrRef>
          </c:cat>
          <c:val>
            <c:numRef>
              <c:f>'Total Sales'!$D$5:$D$27</c:f>
              <c:numCache>
                <c:formatCode>#,##0</c:formatCode>
                <c:ptCount val="23"/>
                <c:pt idx="0">
                  <c:v>265.64099999999996</c:v>
                </c:pt>
                <c:pt idx="2">
                  <c:v>354.18799999999999</c:v>
                </c:pt>
                <c:pt idx="3">
                  <c:v>154.03800000000001</c:v>
                </c:pt>
                <c:pt idx="4">
                  <c:v>539.13300000000004</c:v>
                </c:pt>
                <c:pt idx="11">
                  <c:v>531.28199999999993</c:v>
                </c:pt>
                <c:pt idx="12">
                  <c:v>154.03800000000001</c:v>
                </c:pt>
              </c:numCache>
            </c:numRef>
          </c:val>
          <c:smooth val="0"/>
          <c:extLst>
            <c:ext xmlns:c16="http://schemas.microsoft.com/office/drawing/2014/chart" uri="{C3380CC4-5D6E-409C-BE32-E72D297353CC}">
              <c16:uniqueId val="{00000001-29FB-4271-95B9-7E3821950D1C}"/>
            </c:ext>
          </c:extLst>
        </c:ser>
        <c:ser>
          <c:idx val="2"/>
          <c:order val="2"/>
          <c:tx>
            <c:strRef>
              <c:f>'Total Sales'!$E$3:$E$4</c:f>
              <c:strCache>
                <c:ptCount val="1"/>
                <c:pt idx="0">
                  <c:v>Rob</c:v>
                </c:pt>
              </c:strCache>
            </c:strRef>
          </c:tx>
          <c:spPr>
            <a:ln w="28575" cap="rnd">
              <a:solidFill>
                <a:srgbClr val="002060"/>
              </a:solidFill>
              <a:round/>
            </a:ln>
            <a:effectLst/>
          </c:spPr>
          <c:marker>
            <c:symbol val="none"/>
          </c:marker>
          <c:cat>
            <c:multiLvlStrRef>
              <c:f>'Total Sales'!$A$5:$B$27</c:f>
              <c:multiLvlStrCache>
                <c:ptCount val="23"/>
                <c:lvl>
                  <c:pt idx="0">
                    <c:v>Jan</c:v>
                  </c:pt>
                  <c:pt idx="1">
                    <c:v>May</c:v>
                  </c:pt>
                  <c:pt idx="2">
                    <c:v>Sep</c:v>
                  </c:pt>
                  <c:pt idx="3">
                    <c:v>May</c:v>
                  </c:pt>
                  <c:pt idx="4">
                    <c:v>Jul</c:v>
                  </c:pt>
                  <c:pt idx="5">
                    <c:v>Jan</c:v>
                  </c:pt>
                  <c:pt idx="6">
                    <c:v>Feb</c:v>
                  </c:pt>
                  <c:pt idx="7">
                    <c:v>May</c:v>
                  </c:pt>
                  <c:pt idx="8">
                    <c:v>Jul</c:v>
                  </c:pt>
                  <c:pt idx="9">
                    <c:v>Aug</c:v>
                  </c:pt>
                  <c:pt idx="10">
                    <c:v>Sep</c:v>
                  </c:pt>
                  <c:pt idx="11">
                    <c:v>Jan</c:v>
                  </c:pt>
                  <c:pt idx="12">
                    <c:v>Mar</c:v>
                  </c:pt>
                  <c:pt idx="13">
                    <c:v>May</c:v>
                  </c:pt>
                  <c:pt idx="14">
                    <c:v>Sep</c:v>
                  </c:pt>
                  <c:pt idx="15">
                    <c:v>Oct</c:v>
                  </c:pt>
                  <c:pt idx="16">
                    <c:v>Dec</c:v>
                  </c:pt>
                  <c:pt idx="17">
                    <c:v>Mar</c:v>
                  </c:pt>
                  <c:pt idx="18">
                    <c:v>May</c:v>
                  </c:pt>
                  <c:pt idx="19">
                    <c:v>Jul</c:v>
                  </c:pt>
                  <c:pt idx="20">
                    <c:v>Sep</c:v>
                  </c:pt>
                  <c:pt idx="21">
                    <c:v>Nov</c:v>
                  </c:pt>
                  <c:pt idx="22">
                    <c:v>Jan</c:v>
                  </c:pt>
                </c:lvl>
                <c:lvl>
                  <c:pt idx="0">
                    <c:v>2019</c:v>
                  </c:pt>
                  <c:pt idx="3">
                    <c:v>2020</c:v>
                  </c:pt>
                  <c:pt idx="5">
                    <c:v>2021</c:v>
                  </c:pt>
                  <c:pt idx="11">
                    <c:v>2022</c:v>
                  </c:pt>
                  <c:pt idx="17">
                    <c:v>2023</c:v>
                  </c:pt>
                  <c:pt idx="22">
                    <c:v>2024</c:v>
                  </c:pt>
                </c:lvl>
              </c:multiLvlStrCache>
            </c:multiLvlStrRef>
          </c:cat>
          <c:val>
            <c:numRef>
              <c:f>'Total Sales'!$E$5:$E$27</c:f>
              <c:numCache>
                <c:formatCode>#,##0</c:formatCode>
                <c:ptCount val="23"/>
                <c:pt idx="5">
                  <c:v>321.80799999999999</c:v>
                </c:pt>
                <c:pt idx="7">
                  <c:v>241.35599999999999</c:v>
                </c:pt>
                <c:pt idx="9">
                  <c:v>482.71199999999999</c:v>
                </c:pt>
              </c:numCache>
            </c:numRef>
          </c:val>
          <c:smooth val="0"/>
          <c:extLst>
            <c:ext xmlns:c16="http://schemas.microsoft.com/office/drawing/2014/chart" uri="{C3380CC4-5D6E-409C-BE32-E72D297353CC}">
              <c16:uniqueId val="{00000002-1E95-4646-8819-7AD7D5FD1003}"/>
            </c:ext>
          </c:extLst>
        </c:ser>
        <c:dLbls>
          <c:showLegendKey val="0"/>
          <c:showVal val="0"/>
          <c:showCatName val="0"/>
          <c:showSerName val="0"/>
          <c:showPercent val="0"/>
          <c:showBubbleSize val="0"/>
        </c:dLbls>
        <c:smooth val="0"/>
        <c:axId val="795357311"/>
        <c:axId val="795362591"/>
      </c:lineChart>
      <c:catAx>
        <c:axId val="795357311"/>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900" b="0" i="0" u="none" strike="noStrike" kern="1200" baseline="0">
                <a:solidFill>
                  <a:srgbClr val="040107"/>
                </a:solidFill>
                <a:latin typeface="+mn-lt"/>
                <a:ea typeface="+mn-ea"/>
                <a:cs typeface="+mn-cs"/>
              </a:defRPr>
            </a:pPr>
            <a:endParaRPr lang="en-US"/>
          </a:p>
        </c:txPr>
        <c:crossAx val="795362591"/>
        <c:crosses val="autoZero"/>
        <c:auto val="1"/>
        <c:lblAlgn val="ctr"/>
        <c:lblOffset val="100"/>
        <c:noMultiLvlLbl val="0"/>
      </c:catAx>
      <c:valAx>
        <c:axId val="795362591"/>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040107"/>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040107"/>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40107"/>
                </a:solidFill>
                <a:latin typeface="+mn-lt"/>
                <a:ea typeface="+mn-ea"/>
                <a:cs typeface="+mn-cs"/>
              </a:defRPr>
            </a:pPr>
            <a:endParaRPr lang="en-US"/>
          </a:p>
        </c:txPr>
        <c:crossAx val="795357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40107"/>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C299EB"/>
    </a:solidFill>
    <a:ln w="9525" cap="flat" cmpd="sng" algn="ctr">
      <a:solidFill>
        <a:schemeClr val="tx1">
          <a:lumMod val="15000"/>
          <a:lumOff val="85000"/>
        </a:schemeClr>
      </a:solidFill>
      <a:round/>
    </a:ln>
    <a:effectLst/>
  </c:spPr>
  <c:txPr>
    <a:bodyPr/>
    <a:lstStyle/>
    <a:p>
      <a:pPr>
        <a:defRPr>
          <a:solidFill>
            <a:srgbClr val="04010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[Coffee_Shop_Project.xlsx]Total Sales by country (2)!Total Sales</c:name>
    <c:fmtId val="4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Total Sales By Country</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A46AD4"/>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823B"/>
          </a:solidFill>
          <a:ln w="25400">
            <a:solidFill>
              <a:schemeClr val="bg1">
                <a:lumMod val="95000"/>
              </a:schemeClr>
            </a:solidFill>
          </a:ln>
          <a:effectLst/>
        </c:spPr>
      </c:pivotFmt>
      <c:pivotFmt>
        <c:idx val="2"/>
        <c:spPr>
          <a:solidFill>
            <a:srgbClr val="00C057"/>
          </a:solidFill>
          <a:ln w="25400">
            <a:solidFill>
              <a:schemeClr val="bg1">
                <a:lumMod val="95000"/>
              </a:schemeClr>
            </a:solidFill>
          </a:ln>
          <a:effectLst/>
        </c:spPr>
      </c:pivotFmt>
      <c:pivotFmt>
        <c:idx val="3"/>
        <c:spPr>
          <a:solidFill>
            <a:srgbClr val="4FFF9F"/>
          </a:solidFill>
          <a:ln w="25400">
            <a:solidFill>
              <a:schemeClr val="bg1">
                <a:lumMod val="95000"/>
              </a:schemeClr>
            </a:solidFill>
          </a:ln>
          <a:effectLst/>
        </c:spPr>
      </c:pivotFmt>
      <c:pivotFmt>
        <c:idx val="4"/>
        <c:spPr>
          <a:solidFill>
            <a:srgbClr val="A46AD4"/>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FFF9F"/>
          </a:solidFill>
          <a:ln w="25400">
            <a:solidFill>
              <a:schemeClr val="bg1">
                <a:lumMod val="95000"/>
              </a:schemeClr>
            </a:solidFill>
          </a:ln>
          <a:effectLst/>
        </c:spPr>
      </c:pivotFmt>
      <c:pivotFmt>
        <c:idx val="6"/>
        <c:spPr>
          <a:solidFill>
            <a:srgbClr val="00C057"/>
          </a:solidFill>
          <a:ln w="25400">
            <a:solidFill>
              <a:schemeClr val="bg1">
                <a:lumMod val="95000"/>
              </a:schemeClr>
            </a:solidFill>
          </a:ln>
          <a:effectLst/>
        </c:spPr>
      </c:pivotFmt>
      <c:pivotFmt>
        <c:idx val="7"/>
        <c:spPr>
          <a:solidFill>
            <a:srgbClr val="00823B"/>
          </a:solidFill>
          <a:ln w="25400">
            <a:solidFill>
              <a:schemeClr val="bg1">
                <a:lumMod val="95000"/>
              </a:schemeClr>
            </a:solidFill>
          </a:ln>
          <a:effectLst/>
        </c:spPr>
      </c:pivotFmt>
      <c:pivotFmt>
        <c:idx val="8"/>
        <c:spPr>
          <a:solidFill>
            <a:srgbClr val="A46AD4"/>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4FFF9F"/>
          </a:solidFill>
          <a:ln w="25400">
            <a:solidFill>
              <a:schemeClr val="bg1">
                <a:lumMod val="95000"/>
              </a:schemeClr>
            </a:solidFill>
          </a:ln>
          <a:effectLst/>
        </c:spPr>
      </c:pivotFmt>
      <c:pivotFmt>
        <c:idx val="10"/>
        <c:spPr>
          <a:solidFill>
            <a:srgbClr val="00C057"/>
          </a:solidFill>
          <a:ln w="25400">
            <a:solidFill>
              <a:schemeClr val="bg1">
                <a:lumMod val="95000"/>
              </a:schemeClr>
            </a:solidFill>
          </a:ln>
          <a:effectLst/>
        </c:spPr>
      </c:pivotFmt>
      <c:pivotFmt>
        <c:idx val="11"/>
        <c:spPr>
          <a:solidFill>
            <a:srgbClr val="00823B"/>
          </a:solidFill>
          <a:ln w="25400">
            <a:solidFill>
              <a:schemeClr val="bg1">
                <a:lumMod val="95000"/>
              </a:schemeClr>
            </a:solidFill>
          </a:ln>
          <a:effectLst/>
        </c:spPr>
      </c:pivotFmt>
    </c:pivotFmts>
    <c:plotArea>
      <c:layout/>
      <c:barChart>
        <c:barDir val="bar"/>
        <c:grouping val="clustered"/>
        <c:varyColors val="0"/>
        <c:ser>
          <c:idx val="0"/>
          <c:order val="0"/>
          <c:tx>
            <c:strRef>
              <c:f>'Total Sales by country (2)'!$B$3</c:f>
              <c:strCache>
                <c:ptCount val="1"/>
                <c:pt idx="0">
                  <c:v>Total</c:v>
                </c:pt>
              </c:strCache>
            </c:strRef>
          </c:tx>
          <c:spPr>
            <a:solidFill>
              <a:srgbClr val="A46AD4"/>
            </a:solidFill>
            <a:ln w="25400">
              <a:solidFill>
                <a:schemeClr val="bg1">
                  <a:lumMod val="95000"/>
                </a:schemeClr>
              </a:solidFill>
            </a:ln>
            <a:effectLst/>
          </c:spPr>
          <c:invertIfNegative val="0"/>
          <c:dPt>
            <c:idx val="0"/>
            <c:invertIfNegative val="0"/>
            <c:bubble3D val="0"/>
            <c:spPr>
              <a:solidFill>
                <a:srgbClr val="00C057"/>
              </a:solidFill>
              <a:ln w="25400">
                <a:solidFill>
                  <a:schemeClr val="bg1">
                    <a:lumMod val="95000"/>
                  </a:schemeClr>
                </a:solidFill>
              </a:ln>
              <a:effectLst/>
            </c:spPr>
            <c:extLst>
              <c:ext xmlns:c16="http://schemas.microsoft.com/office/drawing/2014/chart" uri="{C3380CC4-5D6E-409C-BE32-E72D297353CC}">
                <c16:uniqueId val="{00000001-9337-4B66-8A8C-1D8DF76FD22B}"/>
              </c:ext>
            </c:extLst>
          </c:dPt>
          <c:dPt>
            <c:idx val="1"/>
            <c:invertIfNegative val="0"/>
            <c:bubble3D val="0"/>
            <c:spPr>
              <a:solidFill>
                <a:srgbClr val="4FFF9F"/>
              </a:solidFill>
              <a:ln w="25400">
                <a:solidFill>
                  <a:schemeClr val="bg1">
                    <a:lumMod val="95000"/>
                  </a:schemeClr>
                </a:solidFill>
              </a:ln>
              <a:effectLst/>
            </c:spPr>
            <c:extLst>
              <c:ext xmlns:c16="http://schemas.microsoft.com/office/drawing/2014/chart" uri="{C3380CC4-5D6E-409C-BE32-E72D297353CC}">
                <c16:uniqueId val="{00000003-9337-4B66-8A8C-1D8DF76FD22B}"/>
              </c:ext>
            </c:extLst>
          </c:dPt>
          <c:dPt>
            <c:idx val="2"/>
            <c:invertIfNegative val="0"/>
            <c:bubble3D val="0"/>
            <c:spPr>
              <a:solidFill>
                <a:srgbClr val="00823B"/>
              </a:solidFill>
              <a:ln w="25400">
                <a:solidFill>
                  <a:schemeClr val="bg1">
                    <a:lumMod val="95000"/>
                  </a:schemeClr>
                </a:solidFill>
              </a:ln>
              <a:effectLst/>
            </c:spPr>
            <c:extLst>
              <c:ext xmlns:c16="http://schemas.microsoft.com/office/drawing/2014/chart" uri="{C3380CC4-5D6E-409C-BE32-E72D297353CC}">
                <c16:uniqueId val="{00000005-9337-4B66-8A8C-1D8DF76FD22B}"/>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 by country (2)'!$A$4:$A$6</c:f>
              <c:strCache>
                <c:ptCount val="3"/>
                <c:pt idx="0">
                  <c:v>UK</c:v>
                </c:pt>
                <c:pt idx="1">
                  <c:v>Canada</c:v>
                </c:pt>
                <c:pt idx="2">
                  <c:v>India</c:v>
                </c:pt>
              </c:strCache>
            </c:strRef>
          </c:cat>
          <c:val>
            <c:numRef>
              <c:f>'Total Sales by country (2)'!$B$4:$B$6</c:f>
              <c:numCache>
                <c:formatCode>[$$-409]#,##0</c:formatCode>
                <c:ptCount val="3"/>
                <c:pt idx="0">
                  <c:v>1556.3820000000001</c:v>
                </c:pt>
                <c:pt idx="1">
                  <c:v>1743.9089999999999</c:v>
                </c:pt>
                <c:pt idx="2">
                  <c:v>2061.4049999999997</c:v>
                </c:pt>
              </c:numCache>
            </c:numRef>
          </c:val>
          <c:extLst>
            <c:ext xmlns:c16="http://schemas.microsoft.com/office/drawing/2014/chart" uri="{C3380CC4-5D6E-409C-BE32-E72D297353CC}">
              <c16:uniqueId val="{00000006-9337-4B66-8A8C-1D8DF76FD22B}"/>
            </c:ext>
          </c:extLst>
        </c:ser>
        <c:dLbls>
          <c:dLblPos val="outEnd"/>
          <c:showLegendKey val="0"/>
          <c:showVal val="1"/>
          <c:showCatName val="0"/>
          <c:showSerName val="0"/>
          <c:showPercent val="0"/>
          <c:showBubbleSize val="0"/>
        </c:dLbls>
        <c:gapWidth val="182"/>
        <c:axId val="1720721136"/>
        <c:axId val="1720730736"/>
      </c:barChart>
      <c:catAx>
        <c:axId val="1720721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20730736"/>
        <c:crosses val="autoZero"/>
        <c:auto val="1"/>
        <c:lblAlgn val="ctr"/>
        <c:lblOffset val="100"/>
        <c:noMultiLvlLbl val="0"/>
      </c:catAx>
      <c:valAx>
        <c:axId val="1720730736"/>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2072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299EB"/>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[Coffee_Shop_Project.xlsx]Top 5 Customer!Total Sales</c:name>
    <c:fmtId val="4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Top</a:t>
            </a:r>
            <a:r>
              <a:rPr lang="en-US" baseline="0"/>
              <a:t> 5 Customer</a:t>
            </a:r>
            <a:endParaRPr lang="en-US"/>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A46AD4"/>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823B"/>
          </a:solidFill>
          <a:ln w="25400">
            <a:solidFill>
              <a:schemeClr val="bg1">
                <a:lumMod val="95000"/>
              </a:schemeClr>
            </a:solidFill>
          </a:ln>
          <a:effectLst/>
        </c:spPr>
      </c:pivotFmt>
      <c:pivotFmt>
        <c:idx val="2"/>
        <c:spPr>
          <a:solidFill>
            <a:srgbClr val="00C057"/>
          </a:solidFill>
          <a:ln w="25400">
            <a:solidFill>
              <a:schemeClr val="bg1">
                <a:lumMod val="95000"/>
              </a:schemeClr>
            </a:solidFill>
          </a:ln>
          <a:effectLst/>
        </c:spPr>
      </c:pivotFmt>
      <c:pivotFmt>
        <c:idx val="3"/>
        <c:spPr>
          <a:solidFill>
            <a:srgbClr val="4FFF9F"/>
          </a:solidFill>
          <a:ln w="25400">
            <a:solidFill>
              <a:schemeClr val="bg1">
                <a:lumMod val="95000"/>
              </a:schemeClr>
            </a:solidFill>
          </a:ln>
          <a:effectLst/>
        </c:spPr>
      </c:pivotFmt>
      <c:pivotFmt>
        <c:idx val="4"/>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FFF9F"/>
          </a:solidFill>
          <a:ln w="25400">
            <a:solidFill>
              <a:schemeClr val="bg1">
                <a:lumMod val="95000"/>
              </a:schemeClr>
            </a:solidFill>
          </a:ln>
          <a:effectLst/>
        </c:spPr>
      </c:pivotFmt>
      <c:pivotFmt>
        <c:idx val="6"/>
        <c:spPr>
          <a:solidFill>
            <a:srgbClr val="00C057"/>
          </a:solidFill>
          <a:ln w="25400">
            <a:solidFill>
              <a:schemeClr val="bg1">
                <a:lumMod val="95000"/>
              </a:schemeClr>
            </a:solidFill>
          </a:ln>
          <a:effectLst/>
        </c:spPr>
      </c:pivotFmt>
      <c:pivotFmt>
        <c:idx val="7"/>
        <c:spPr>
          <a:solidFill>
            <a:srgbClr val="00823B"/>
          </a:solidFill>
          <a:ln w="25400">
            <a:solidFill>
              <a:schemeClr val="bg1">
                <a:lumMod val="95000"/>
              </a:schemeClr>
            </a:solidFill>
          </a:ln>
          <a:effectLst/>
        </c:spPr>
      </c:pivotFmt>
      <c:pivotFmt>
        <c:idx val="8"/>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Customer'!$B$3</c:f>
              <c:strCache>
                <c:ptCount val="1"/>
                <c:pt idx="0">
                  <c:v>Total</c:v>
                </c:pt>
              </c:strCache>
            </c:strRef>
          </c:tx>
          <c:spPr>
            <a:solidFill>
              <a:srgbClr val="00B050"/>
            </a:solidFill>
            <a:ln w="25400">
              <a:solidFill>
                <a:schemeClr val="bg1">
                  <a:lumMod val="95000"/>
                </a:schemeClr>
              </a:solidFill>
            </a:ln>
            <a:effectLst/>
          </c:spPr>
          <c:invertIfNegative val="0"/>
          <c:dPt>
            <c:idx val="0"/>
            <c:invertIfNegative val="0"/>
            <c:bubble3D val="0"/>
            <c:extLst>
              <c:ext xmlns:c16="http://schemas.microsoft.com/office/drawing/2014/chart" uri="{C3380CC4-5D6E-409C-BE32-E72D297353CC}">
                <c16:uniqueId val="{00000000-0044-43DB-9B07-8D905F75077D}"/>
              </c:ext>
            </c:extLst>
          </c:dPt>
          <c:dPt>
            <c:idx val="1"/>
            <c:invertIfNegative val="0"/>
            <c:bubble3D val="0"/>
            <c:extLst>
              <c:ext xmlns:c16="http://schemas.microsoft.com/office/drawing/2014/chart" uri="{C3380CC4-5D6E-409C-BE32-E72D297353CC}">
                <c16:uniqueId val="{00000001-0044-43DB-9B07-8D905F75077D}"/>
              </c:ext>
            </c:extLst>
          </c:dPt>
          <c:dPt>
            <c:idx val="2"/>
            <c:invertIfNegative val="0"/>
            <c:bubble3D val="0"/>
            <c:extLst>
              <c:ext xmlns:c16="http://schemas.microsoft.com/office/drawing/2014/chart" uri="{C3380CC4-5D6E-409C-BE32-E72D297353CC}">
                <c16:uniqueId val="{00000002-0044-43DB-9B07-8D905F75077D}"/>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Customer'!$A$4:$A$8</c:f>
              <c:strCache>
                <c:ptCount val="5"/>
                <c:pt idx="0">
                  <c:v>Aditya Kulkarni</c:v>
                </c:pt>
                <c:pt idx="1">
                  <c:v>Daniel Brown</c:v>
                </c:pt>
                <c:pt idx="2">
                  <c:v>Sofia Ramirez</c:v>
                </c:pt>
                <c:pt idx="3">
                  <c:v>Olivia Taylor</c:v>
                </c:pt>
                <c:pt idx="4">
                  <c:v>Nisha Malhotra</c:v>
                </c:pt>
              </c:strCache>
            </c:strRef>
          </c:cat>
          <c:val>
            <c:numRef>
              <c:f>'Top 5 Customer'!$B$4:$B$8</c:f>
              <c:numCache>
                <c:formatCode>[$$-409]#,##0</c:formatCode>
                <c:ptCount val="5"/>
                <c:pt idx="0">
                  <c:v>573.71699999999998</c:v>
                </c:pt>
                <c:pt idx="1">
                  <c:v>575.99099999999999</c:v>
                </c:pt>
                <c:pt idx="2">
                  <c:v>648.221</c:v>
                </c:pt>
                <c:pt idx="3">
                  <c:v>811.11899999999991</c:v>
                </c:pt>
                <c:pt idx="4">
                  <c:v>839.51099999999997</c:v>
                </c:pt>
              </c:numCache>
            </c:numRef>
          </c:val>
          <c:extLst>
            <c:ext xmlns:c16="http://schemas.microsoft.com/office/drawing/2014/chart" uri="{C3380CC4-5D6E-409C-BE32-E72D297353CC}">
              <c16:uniqueId val="{00000003-0044-43DB-9B07-8D905F75077D}"/>
            </c:ext>
          </c:extLst>
        </c:ser>
        <c:dLbls>
          <c:dLblPos val="outEnd"/>
          <c:showLegendKey val="0"/>
          <c:showVal val="1"/>
          <c:showCatName val="0"/>
          <c:showSerName val="0"/>
          <c:showPercent val="0"/>
          <c:showBubbleSize val="0"/>
        </c:dLbls>
        <c:gapWidth val="182"/>
        <c:axId val="1720721136"/>
        <c:axId val="1720730736"/>
      </c:barChart>
      <c:catAx>
        <c:axId val="1720721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20730736"/>
        <c:crosses val="autoZero"/>
        <c:auto val="1"/>
        <c:lblAlgn val="ctr"/>
        <c:lblOffset val="100"/>
        <c:noMultiLvlLbl val="0"/>
      </c:catAx>
      <c:valAx>
        <c:axId val="1720730736"/>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2072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299EB"/>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6154</xdr:rowOff>
    </xdr:from>
    <xdr:to>
      <xdr:col>15</xdr:col>
      <xdr:colOff>264583</xdr:colOff>
      <xdr:row>42</xdr:row>
      <xdr:rowOff>34119</xdr:rowOff>
    </xdr:to>
    <xdr:graphicFrame macro="">
      <xdr:nvGraphicFramePr>
        <xdr:cNvPr id="2" name="Chart 1">
          <a:extLst>
            <a:ext uri="{FF2B5EF4-FFF2-40B4-BE49-F238E27FC236}">
              <a16:creationId xmlns:a16="http://schemas.microsoft.com/office/drawing/2014/main" id="{0FAC544D-034C-4C6C-9959-4A4493822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xdr:row>
      <xdr:rowOff>160020</xdr:rowOff>
    </xdr:from>
    <xdr:to>
      <xdr:col>15</xdr:col>
      <xdr:colOff>359833</xdr:colOff>
      <xdr:row>15</xdr:row>
      <xdr:rowOff>102358</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EFC2A694-0183-4E52-9DD8-B6F3370B459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0" y="775482"/>
              <a:ext cx="8956756" cy="198410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416134</xdr:colOff>
      <xdr:row>10</xdr:row>
      <xdr:rowOff>68239</xdr:rowOff>
    </xdr:from>
    <xdr:to>
      <xdr:col>20</xdr:col>
      <xdr:colOff>560917</xdr:colOff>
      <xdr:row>15</xdr:row>
      <xdr:rowOff>113731</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F5052BB9-DBF3-4571-851D-38733B433BF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013057" y="1797393"/>
              <a:ext cx="3173245" cy="9735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432543</xdr:colOff>
      <xdr:row>4</xdr:row>
      <xdr:rowOff>163671</xdr:rowOff>
    </xdr:from>
    <xdr:to>
      <xdr:col>26</xdr:col>
      <xdr:colOff>29107</xdr:colOff>
      <xdr:row>10</xdr:row>
      <xdr:rowOff>12850</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8B592402-154F-4E03-A9EF-73B559CE1357}"/>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9141114" y="757437"/>
              <a:ext cx="6345707" cy="917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21957</xdr:colOff>
      <xdr:row>10</xdr:row>
      <xdr:rowOff>90984</xdr:rowOff>
    </xdr:from>
    <xdr:to>
      <xdr:col>26</xdr:col>
      <xdr:colOff>28730</xdr:colOff>
      <xdr:row>15</xdr:row>
      <xdr:rowOff>136476</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12A3EDC0-ECCC-4D79-89E7-83B0592B636A}"/>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253034" y="1820138"/>
              <a:ext cx="3035234" cy="9735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319153</xdr:colOff>
      <xdr:row>16</xdr:row>
      <xdr:rowOff>51265</xdr:rowOff>
    </xdr:from>
    <xdr:to>
      <xdr:col>25</xdr:col>
      <xdr:colOff>578982</xdr:colOff>
      <xdr:row>28</xdr:row>
      <xdr:rowOff>53380</xdr:rowOff>
    </xdr:to>
    <xdr:graphicFrame macro="">
      <xdr:nvGraphicFramePr>
        <xdr:cNvPr id="7" name="Chart 6">
          <a:extLst>
            <a:ext uri="{FF2B5EF4-FFF2-40B4-BE49-F238E27FC236}">
              <a16:creationId xmlns:a16="http://schemas.microsoft.com/office/drawing/2014/main" id="{4C7EECEF-02B6-484A-8257-C5B3DE284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311802</xdr:colOff>
      <xdr:row>28</xdr:row>
      <xdr:rowOff>102096</xdr:rowOff>
    </xdr:from>
    <xdr:to>
      <xdr:col>25</xdr:col>
      <xdr:colOff>551736</xdr:colOff>
      <xdr:row>42</xdr:row>
      <xdr:rowOff>29308</xdr:rowOff>
    </xdr:to>
    <xdr:graphicFrame macro="">
      <xdr:nvGraphicFramePr>
        <xdr:cNvPr id="8" name="Chart 7">
          <a:extLst>
            <a:ext uri="{FF2B5EF4-FFF2-40B4-BE49-F238E27FC236}">
              <a16:creationId xmlns:a16="http://schemas.microsoft.com/office/drawing/2014/main" id="{9914B790-2C96-43FE-BF61-068C66A6A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0</xdr:row>
      <xdr:rowOff>0</xdr:rowOff>
    </xdr:from>
    <xdr:to>
      <xdr:col>26</xdr:col>
      <xdr:colOff>15240</xdr:colOff>
      <xdr:row>4</xdr:row>
      <xdr:rowOff>121920</xdr:rowOff>
    </xdr:to>
    <xdr:sp macro="" textlink="">
      <xdr:nvSpPr>
        <xdr:cNvPr id="15" name="Rectangle 14">
          <a:extLst>
            <a:ext uri="{FF2B5EF4-FFF2-40B4-BE49-F238E27FC236}">
              <a16:creationId xmlns:a16="http://schemas.microsoft.com/office/drawing/2014/main" id="{C4044247-E225-E4F9-6B71-3F611A791C44}"/>
            </a:ext>
          </a:extLst>
        </xdr:cNvPr>
        <xdr:cNvSpPr/>
      </xdr:nvSpPr>
      <xdr:spPr>
        <a:xfrm>
          <a:off x="7620" y="0"/>
          <a:ext cx="15369540" cy="731520"/>
        </a:xfrm>
        <a:prstGeom prst="rect">
          <a:avLst/>
        </a:prstGeom>
        <a:solidFill>
          <a:srgbClr val="7030A0"/>
        </a:soli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bg1"/>
              </a:solidFill>
            </a:rPr>
            <a:t>Coffee</a:t>
          </a:r>
          <a:r>
            <a:rPr lang="en-IN" sz="4000" b="1" baseline="0">
              <a:solidFill>
                <a:schemeClr val="bg1"/>
              </a:solidFill>
            </a:rPr>
            <a:t> Sales Dashboard</a:t>
          </a:r>
          <a:endParaRPr lang="en-IN" sz="4000" b="1">
            <a:solidFill>
              <a:schemeClr val="bg1"/>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798D9FF7A6A73F55/Documents/Coffee_Shop_Customers_Updated.xlsx" TargetMode="External"/><Relationship Id="rId1" Type="http://schemas.openxmlformats.org/officeDocument/2006/relationships/externalLinkPath" Target="https://d.docs.live.net/798D9FF7A6A73F55/Documents/Coffee_Shop_Customers_Update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798D9FF7A6A73F55/Documents/Coffee_Shop_Products_100_Updated%20(1).xlsx" TargetMode="External"/><Relationship Id="rId1" Type="http://schemas.openxmlformats.org/officeDocument/2006/relationships/externalLinkPath" Target="https://d.docs.live.net/798D9FF7A6A73F55/Documents/Coffee_Shop_Products_100_Updated%20(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d.docs.live.net/798D9FF7A6A73F55/Documents/Coffee_Shop_Customers_Updated%20(1).xlsx" TargetMode="External"/><Relationship Id="rId1" Type="http://schemas.openxmlformats.org/officeDocument/2006/relationships/externalLinkPath" Target="https://d.docs.live.net/798D9FF7A6A73F55/Documents/Coffee_Shop_Customers_Updated%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ers"/>
    </sheetNames>
    <sheetDataSet>
      <sheetData sheetId="0">
        <row r="1">
          <cell r="A1" t="str">
            <v>Customer ID</v>
          </cell>
          <cell r="C1" t="str">
            <v>Email</v>
          </cell>
          <cell r="G1" t="str">
            <v>Country</v>
          </cell>
        </row>
        <row r="2">
          <cell r="A2" t="str">
            <v>CUST001</v>
          </cell>
          <cell r="C2" t="str">
            <v>customer@dummy.com</v>
          </cell>
          <cell r="G2" t="str">
            <v>Australia</v>
          </cell>
        </row>
        <row r="3">
          <cell r="A3" t="str">
            <v>CUST002</v>
          </cell>
          <cell r="C3" t="str">
            <v>customer@dummy.com</v>
          </cell>
          <cell r="G3" t="str">
            <v>USA</v>
          </cell>
        </row>
        <row r="4">
          <cell r="A4" t="str">
            <v>CUST003</v>
          </cell>
          <cell r="C4" t="str">
            <v>customer@dummy.com</v>
          </cell>
          <cell r="G4" t="str">
            <v>India</v>
          </cell>
        </row>
        <row r="5">
          <cell r="A5" t="str">
            <v>CUST004</v>
          </cell>
          <cell r="C5" t="str">
            <v>customer@dummy.com</v>
          </cell>
          <cell r="G5" t="str">
            <v>Germany</v>
          </cell>
        </row>
        <row r="6">
          <cell r="A6" t="str">
            <v>CUST005</v>
          </cell>
          <cell r="C6" t="str">
            <v>customer@dummy.com</v>
          </cell>
          <cell r="G6" t="str">
            <v>UK</v>
          </cell>
        </row>
        <row r="7">
          <cell r="A7" t="str">
            <v>CUST006</v>
          </cell>
          <cell r="C7" t="str">
            <v>customer@dummy.com</v>
          </cell>
          <cell r="G7" t="str">
            <v>Canada</v>
          </cell>
        </row>
        <row r="8">
          <cell r="A8" t="str">
            <v>CUST007</v>
          </cell>
          <cell r="C8" t="str">
            <v>customer@dummy.com</v>
          </cell>
          <cell r="G8" t="str">
            <v>Germany</v>
          </cell>
        </row>
        <row r="9">
          <cell r="A9" t="str">
            <v>CUST008</v>
          </cell>
          <cell r="C9" t="str">
            <v>customer@dummy.com</v>
          </cell>
          <cell r="G9" t="str">
            <v>USA</v>
          </cell>
        </row>
        <row r="10">
          <cell r="A10" t="str">
            <v>CUST009</v>
          </cell>
          <cell r="C10" t="str">
            <v>customer@dummy.com</v>
          </cell>
          <cell r="G10" t="str">
            <v>Canada</v>
          </cell>
        </row>
        <row r="11">
          <cell r="A11" t="str">
            <v>CUST010</v>
          </cell>
          <cell r="C11" t="str">
            <v>customer@dummy.com</v>
          </cell>
          <cell r="G11" t="str">
            <v>Australia</v>
          </cell>
        </row>
        <row r="12">
          <cell r="A12" t="str">
            <v>CUST011</v>
          </cell>
          <cell r="C12" t="str">
            <v>customer@dummy.com</v>
          </cell>
          <cell r="G12" t="str">
            <v>USA</v>
          </cell>
        </row>
        <row r="13">
          <cell r="A13" t="str">
            <v>CUST012</v>
          </cell>
          <cell r="G13" t="str">
            <v>USA</v>
          </cell>
        </row>
        <row r="14">
          <cell r="A14" t="str">
            <v>CUST013</v>
          </cell>
          <cell r="C14" t="str">
            <v>customer@dummy.com</v>
          </cell>
          <cell r="G14" t="str">
            <v>India</v>
          </cell>
        </row>
        <row r="15">
          <cell r="A15" t="str">
            <v>CUST014</v>
          </cell>
          <cell r="C15" t="str">
            <v>customer@dummy.com</v>
          </cell>
          <cell r="G15" t="str">
            <v>USA</v>
          </cell>
        </row>
        <row r="16">
          <cell r="A16" t="str">
            <v>CUST015</v>
          </cell>
          <cell r="C16" t="str">
            <v>customer@dummy.com</v>
          </cell>
          <cell r="G16" t="str">
            <v>Australia</v>
          </cell>
        </row>
        <row r="17">
          <cell r="A17" t="str">
            <v>CUST016</v>
          </cell>
          <cell r="C17" t="str">
            <v>customer@dummy.com</v>
          </cell>
          <cell r="G17" t="str">
            <v>Germany</v>
          </cell>
        </row>
        <row r="18">
          <cell r="A18" t="str">
            <v>CUST017</v>
          </cell>
          <cell r="G18" t="str">
            <v>UK</v>
          </cell>
        </row>
        <row r="19">
          <cell r="A19" t="str">
            <v>CUST018</v>
          </cell>
          <cell r="C19" t="str">
            <v>customer@dummy.com</v>
          </cell>
          <cell r="G19" t="str">
            <v>Canada</v>
          </cell>
        </row>
        <row r="20">
          <cell r="A20" t="str">
            <v>CUST019</v>
          </cell>
          <cell r="C20" t="str">
            <v>customer@dummy.com</v>
          </cell>
          <cell r="G20" t="str">
            <v>Australia</v>
          </cell>
        </row>
        <row r="21">
          <cell r="A21" t="str">
            <v>CUST020</v>
          </cell>
          <cell r="C21" t="str">
            <v>customer@dummy.com</v>
          </cell>
          <cell r="G21" t="str">
            <v>USA</v>
          </cell>
        </row>
        <row r="22">
          <cell r="A22" t="str">
            <v>CUST021</v>
          </cell>
          <cell r="C22" t="str">
            <v>customer@dummy.com</v>
          </cell>
          <cell r="G22" t="str">
            <v>UK</v>
          </cell>
        </row>
        <row r="23">
          <cell r="A23" t="str">
            <v>CUST022</v>
          </cell>
          <cell r="C23" t="str">
            <v>customer@dummy.com</v>
          </cell>
          <cell r="G23" t="str">
            <v>Australia</v>
          </cell>
        </row>
        <row r="24">
          <cell r="A24" t="str">
            <v>CUST023</v>
          </cell>
          <cell r="C24" t="str">
            <v>customer@dummy.com</v>
          </cell>
          <cell r="G24" t="str">
            <v>Australia</v>
          </cell>
        </row>
        <row r="25">
          <cell r="A25" t="str">
            <v>CUST024</v>
          </cell>
          <cell r="C25" t="str">
            <v>customer@dummy.com</v>
          </cell>
          <cell r="G25" t="str">
            <v>India</v>
          </cell>
        </row>
        <row r="26">
          <cell r="A26" t="str">
            <v>CUST025</v>
          </cell>
          <cell r="C26" t="str">
            <v>customer@dummy.com</v>
          </cell>
          <cell r="G26" t="str">
            <v>India</v>
          </cell>
        </row>
        <row r="27">
          <cell r="A27" t="str">
            <v>CUST026</v>
          </cell>
          <cell r="C27" t="str">
            <v>customer@dummy.com</v>
          </cell>
          <cell r="G27" t="str">
            <v>Germany</v>
          </cell>
        </row>
        <row r="28">
          <cell r="A28" t="str">
            <v>CUST027</v>
          </cell>
          <cell r="C28" t="str">
            <v>customer@dummy.com</v>
          </cell>
          <cell r="G28" t="str">
            <v>USA</v>
          </cell>
        </row>
        <row r="29">
          <cell r="A29" t="str">
            <v>CUST028</v>
          </cell>
          <cell r="C29" t="str">
            <v>customer@dummy.com</v>
          </cell>
          <cell r="G29" t="str">
            <v>Canada</v>
          </cell>
        </row>
        <row r="30">
          <cell r="A30" t="str">
            <v>CUST029</v>
          </cell>
          <cell r="C30" t="str">
            <v>customer@dummy.com</v>
          </cell>
          <cell r="G30" t="str">
            <v>UK</v>
          </cell>
        </row>
        <row r="31">
          <cell r="A31" t="str">
            <v>CUST030</v>
          </cell>
          <cell r="C31" t="str">
            <v>customer@dummy.com</v>
          </cell>
          <cell r="G31" t="str">
            <v>UK</v>
          </cell>
        </row>
        <row r="32">
          <cell r="A32" t="str">
            <v>CUST031</v>
          </cell>
          <cell r="G32" t="str">
            <v>USA</v>
          </cell>
        </row>
        <row r="33">
          <cell r="A33" t="str">
            <v>CUST032</v>
          </cell>
          <cell r="C33" t="str">
            <v>customer@dummy.com</v>
          </cell>
          <cell r="G33" t="str">
            <v>India</v>
          </cell>
        </row>
        <row r="34">
          <cell r="A34" t="str">
            <v>CUST033</v>
          </cell>
          <cell r="C34" t="str">
            <v>customer@dummy.com</v>
          </cell>
          <cell r="G34" t="str">
            <v>Germany</v>
          </cell>
        </row>
        <row r="35">
          <cell r="A35" t="str">
            <v>CUST034</v>
          </cell>
          <cell r="C35" t="str">
            <v>customer@dummy.com</v>
          </cell>
          <cell r="G35" t="str">
            <v>Canada</v>
          </cell>
        </row>
        <row r="36">
          <cell r="A36" t="str">
            <v>CUST035</v>
          </cell>
          <cell r="C36" t="str">
            <v>customer@dummy.com</v>
          </cell>
          <cell r="G36" t="str">
            <v>USA</v>
          </cell>
        </row>
        <row r="37">
          <cell r="A37" t="str">
            <v>CUST036</v>
          </cell>
          <cell r="C37" t="str">
            <v>customer@dummy.com</v>
          </cell>
          <cell r="G37" t="str">
            <v>Canada</v>
          </cell>
        </row>
        <row r="38">
          <cell r="A38" t="str">
            <v>CUST037</v>
          </cell>
          <cell r="C38" t="str">
            <v>customer@dummy.com</v>
          </cell>
          <cell r="G38" t="str">
            <v>Australia</v>
          </cell>
        </row>
        <row r="39">
          <cell r="A39" t="str">
            <v>CUST038</v>
          </cell>
          <cell r="C39" t="str">
            <v>customer@dummy.com</v>
          </cell>
          <cell r="G39" t="str">
            <v>Germany</v>
          </cell>
        </row>
        <row r="40">
          <cell r="A40" t="str">
            <v>CUST039</v>
          </cell>
          <cell r="C40" t="str">
            <v>customer@dummy.com</v>
          </cell>
          <cell r="G40" t="str">
            <v>Canada</v>
          </cell>
        </row>
        <row r="41">
          <cell r="A41" t="str">
            <v>CUST040</v>
          </cell>
          <cell r="C41" t="str">
            <v>customer@dummy.com</v>
          </cell>
          <cell r="G41" t="str">
            <v>India</v>
          </cell>
        </row>
        <row r="42">
          <cell r="A42" t="str">
            <v>CUST041</v>
          </cell>
          <cell r="C42" t="str">
            <v>customer@dummy.com</v>
          </cell>
          <cell r="G42" t="str">
            <v>Canada</v>
          </cell>
        </row>
        <row r="43">
          <cell r="A43" t="str">
            <v>CUST042</v>
          </cell>
          <cell r="G43" t="str">
            <v>India</v>
          </cell>
        </row>
        <row r="44">
          <cell r="A44" t="str">
            <v>CUST043</v>
          </cell>
          <cell r="C44" t="str">
            <v>customer@dummy.com</v>
          </cell>
          <cell r="G44" t="str">
            <v>Germany</v>
          </cell>
        </row>
        <row r="45">
          <cell r="A45" t="str">
            <v>CUST044</v>
          </cell>
          <cell r="C45" t="str">
            <v>customer@dummy.com</v>
          </cell>
          <cell r="G45" t="str">
            <v>Germany</v>
          </cell>
        </row>
        <row r="46">
          <cell r="A46" t="str">
            <v>CUST045</v>
          </cell>
          <cell r="C46" t="str">
            <v>customer@dummy.com</v>
          </cell>
          <cell r="G46" t="str">
            <v>Germany</v>
          </cell>
        </row>
        <row r="47">
          <cell r="A47" t="str">
            <v>CUST046</v>
          </cell>
          <cell r="C47" t="str">
            <v>customer@dummy.com</v>
          </cell>
          <cell r="G47" t="str">
            <v>Australia</v>
          </cell>
        </row>
        <row r="48">
          <cell r="A48" t="str">
            <v>CUST047</v>
          </cell>
          <cell r="C48" t="str">
            <v>customer@dummy.com</v>
          </cell>
          <cell r="G48" t="str">
            <v>India</v>
          </cell>
        </row>
        <row r="49">
          <cell r="A49" t="str">
            <v>CUST048</v>
          </cell>
          <cell r="C49" t="str">
            <v>customer@dummy.com</v>
          </cell>
          <cell r="G49" t="str">
            <v>Canada</v>
          </cell>
        </row>
        <row r="50">
          <cell r="A50" t="str">
            <v>CUST049</v>
          </cell>
          <cell r="G50" t="str">
            <v>Germany</v>
          </cell>
        </row>
        <row r="51">
          <cell r="A51" t="str">
            <v>CUST050</v>
          </cell>
          <cell r="C51" t="str">
            <v>customer@dummy.com</v>
          </cell>
          <cell r="G51" t="str">
            <v>Germany</v>
          </cell>
        </row>
        <row r="52">
          <cell r="A52" t="str">
            <v>CUST051</v>
          </cell>
          <cell r="C52" t="str">
            <v>customer@dummy.com</v>
          </cell>
          <cell r="G52" t="str">
            <v>Canada</v>
          </cell>
        </row>
        <row r="53">
          <cell r="A53" t="str">
            <v>CUST052</v>
          </cell>
          <cell r="C53" t="str">
            <v>customer@dummy.com</v>
          </cell>
          <cell r="G53" t="str">
            <v>UK</v>
          </cell>
        </row>
        <row r="54">
          <cell r="A54" t="str">
            <v>CUST053</v>
          </cell>
          <cell r="C54" t="str">
            <v>customer@dummy.com</v>
          </cell>
          <cell r="G54" t="str">
            <v>Canada</v>
          </cell>
        </row>
        <row r="55">
          <cell r="A55" t="str">
            <v>CUST054</v>
          </cell>
          <cell r="C55" t="str">
            <v>customer@dummy.com</v>
          </cell>
          <cell r="G55" t="str">
            <v>UK</v>
          </cell>
        </row>
        <row r="56">
          <cell r="A56" t="str">
            <v>CUST055</v>
          </cell>
          <cell r="C56" t="str">
            <v>customer@dummy.com</v>
          </cell>
          <cell r="G56" t="str">
            <v>Germany</v>
          </cell>
        </row>
        <row r="57">
          <cell r="A57" t="str">
            <v>CUST056</v>
          </cell>
          <cell r="C57" t="str">
            <v>customer@dummy.com</v>
          </cell>
          <cell r="G57" t="str">
            <v>UK</v>
          </cell>
        </row>
        <row r="58">
          <cell r="A58" t="str">
            <v>CUST057</v>
          </cell>
          <cell r="C58" t="str">
            <v>customer@dummy.com</v>
          </cell>
          <cell r="G58" t="str">
            <v>Australia</v>
          </cell>
        </row>
        <row r="59">
          <cell r="A59" t="str">
            <v>CUST058</v>
          </cell>
          <cell r="C59" t="str">
            <v>customer@dummy.com</v>
          </cell>
          <cell r="G59" t="str">
            <v>UK</v>
          </cell>
        </row>
        <row r="60">
          <cell r="A60" t="str">
            <v>CUST059</v>
          </cell>
          <cell r="C60" t="str">
            <v>customer@dummy.com</v>
          </cell>
          <cell r="G60" t="str">
            <v>India</v>
          </cell>
        </row>
        <row r="61">
          <cell r="A61" t="str">
            <v>CUST060</v>
          </cell>
          <cell r="C61" t="str">
            <v>customer@dummy.com</v>
          </cell>
          <cell r="G61" t="str">
            <v>UK</v>
          </cell>
        </row>
        <row r="62">
          <cell r="A62" t="str">
            <v>CUST061</v>
          </cell>
          <cell r="C62" t="str">
            <v>customer@dummy.com</v>
          </cell>
          <cell r="G62" t="str">
            <v>Australia</v>
          </cell>
        </row>
        <row r="63">
          <cell r="A63" t="str">
            <v>CUST062</v>
          </cell>
          <cell r="C63" t="str">
            <v>customer@dummy.com</v>
          </cell>
          <cell r="G63" t="str">
            <v>UK</v>
          </cell>
        </row>
        <row r="64">
          <cell r="A64" t="str">
            <v>CUST063</v>
          </cell>
          <cell r="C64" t="str">
            <v>customer@dummy.com</v>
          </cell>
          <cell r="G64" t="str">
            <v>UK</v>
          </cell>
        </row>
        <row r="65">
          <cell r="A65" t="str">
            <v>CUST064</v>
          </cell>
          <cell r="C65" t="str">
            <v>customer@dummy.com</v>
          </cell>
          <cell r="G65" t="str">
            <v>USA</v>
          </cell>
        </row>
        <row r="66">
          <cell r="A66" t="str">
            <v>CUST065</v>
          </cell>
          <cell r="C66" t="str">
            <v>customer@dummy.com</v>
          </cell>
          <cell r="G66" t="str">
            <v>USA</v>
          </cell>
        </row>
        <row r="67">
          <cell r="A67" t="str">
            <v>CUST066</v>
          </cell>
          <cell r="C67" t="str">
            <v>customer@dummy.com</v>
          </cell>
          <cell r="G67" t="str">
            <v>India</v>
          </cell>
        </row>
        <row r="68">
          <cell r="A68" t="str">
            <v>CUST067</v>
          </cell>
          <cell r="C68" t="str">
            <v>customer@dummy.com</v>
          </cell>
          <cell r="G68" t="str">
            <v>India</v>
          </cell>
        </row>
        <row r="69">
          <cell r="A69" t="str">
            <v>CUST068</v>
          </cell>
          <cell r="C69" t="str">
            <v>customer@dummy.com</v>
          </cell>
          <cell r="G69" t="str">
            <v>Australia</v>
          </cell>
        </row>
        <row r="70">
          <cell r="A70" t="str">
            <v>CUST069</v>
          </cell>
          <cell r="C70" t="str">
            <v>customer@dummy.com</v>
          </cell>
          <cell r="G70" t="str">
            <v>Canada</v>
          </cell>
        </row>
        <row r="71">
          <cell r="A71" t="str">
            <v>CUST070</v>
          </cell>
          <cell r="C71" t="str">
            <v>customer@dummy.com</v>
          </cell>
          <cell r="G71" t="str">
            <v>Germany</v>
          </cell>
        </row>
        <row r="72">
          <cell r="A72" t="str">
            <v>CUST071</v>
          </cell>
          <cell r="C72" t="str">
            <v>customer@dummy.com</v>
          </cell>
          <cell r="G72" t="str">
            <v>India</v>
          </cell>
        </row>
        <row r="73">
          <cell r="A73" t="str">
            <v>CUST072</v>
          </cell>
          <cell r="G73" t="str">
            <v>Australia</v>
          </cell>
        </row>
        <row r="74">
          <cell r="A74" t="str">
            <v>CUST073</v>
          </cell>
          <cell r="C74" t="str">
            <v>customer@dummy.com</v>
          </cell>
          <cell r="G74" t="str">
            <v>India</v>
          </cell>
        </row>
        <row r="75">
          <cell r="A75" t="str">
            <v>CUST074</v>
          </cell>
          <cell r="C75" t="str">
            <v>customer@dummy.com</v>
          </cell>
          <cell r="G75" t="str">
            <v>Australia</v>
          </cell>
        </row>
        <row r="76">
          <cell r="A76" t="str">
            <v>CUST075</v>
          </cell>
          <cell r="C76" t="str">
            <v>customer@dummy.com</v>
          </cell>
          <cell r="G76" t="str">
            <v>Australia</v>
          </cell>
        </row>
        <row r="77">
          <cell r="A77" t="str">
            <v>CUST076</v>
          </cell>
          <cell r="C77" t="str">
            <v>customer@dummy.com</v>
          </cell>
          <cell r="G77" t="str">
            <v>India</v>
          </cell>
        </row>
        <row r="78">
          <cell r="A78" t="str">
            <v>CUST077</v>
          </cell>
          <cell r="C78" t="str">
            <v>customer@dummy.com</v>
          </cell>
          <cell r="G78" t="str">
            <v>India</v>
          </cell>
        </row>
        <row r="79">
          <cell r="A79" t="str">
            <v>CUST078</v>
          </cell>
          <cell r="C79" t="str">
            <v>customer@dummy.com</v>
          </cell>
          <cell r="G79" t="str">
            <v>UK</v>
          </cell>
        </row>
        <row r="80">
          <cell r="A80" t="str">
            <v>CUST079</v>
          </cell>
          <cell r="C80" t="str">
            <v>customer@dummy.com</v>
          </cell>
          <cell r="G80" t="str">
            <v>USA</v>
          </cell>
        </row>
        <row r="81">
          <cell r="A81" t="str">
            <v>CUST080</v>
          </cell>
          <cell r="C81" t="str">
            <v>customer@dummy.com</v>
          </cell>
          <cell r="G81" t="str">
            <v>India</v>
          </cell>
        </row>
        <row r="82">
          <cell r="A82" t="str">
            <v>CUST081</v>
          </cell>
          <cell r="C82" t="str">
            <v>customer@dummy.com</v>
          </cell>
          <cell r="G82" t="str">
            <v>Canada</v>
          </cell>
        </row>
        <row r="83">
          <cell r="A83" t="str">
            <v>CUST082</v>
          </cell>
          <cell r="G83" t="str">
            <v>India</v>
          </cell>
        </row>
        <row r="84">
          <cell r="A84" t="str">
            <v>CUST083</v>
          </cell>
          <cell r="C84" t="str">
            <v>customer@dummy.com</v>
          </cell>
          <cell r="G84" t="str">
            <v>Australia</v>
          </cell>
        </row>
        <row r="85">
          <cell r="A85" t="str">
            <v>CUST084</v>
          </cell>
          <cell r="C85" t="str">
            <v>customer@dummy.com</v>
          </cell>
          <cell r="G85" t="str">
            <v>UK</v>
          </cell>
        </row>
        <row r="86">
          <cell r="A86" t="str">
            <v>CUST085</v>
          </cell>
          <cell r="C86" t="str">
            <v>customer@dummy.com</v>
          </cell>
          <cell r="G86" t="str">
            <v>Germany</v>
          </cell>
        </row>
        <row r="87">
          <cell r="A87" t="str">
            <v>CUST086</v>
          </cell>
          <cell r="C87" t="str">
            <v>customer@dummy.com</v>
          </cell>
          <cell r="G87" t="str">
            <v>Germany</v>
          </cell>
        </row>
        <row r="88">
          <cell r="A88" t="str">
            <v>CUST087</v>
          </cell>
          <cell r="C88" t="str">
            <v>customer@dummy.com</v>
          </cell>
          <cell r="G88" t="str">
            <v>UK</v>
          </cell>
        </row>
        <row r="89">
          <cell r="A89" t="str">
            <v>CUST088</v>
          </cell>
          <cell r="C89" t="str">
            <v>customer@dummy.com</v>
          </cell>
          <cell r="G89" t="str">
            <v>India</v>
          </cell>
        </row>
        <row r="90">
          <cell r="A90" t="str">
            <v>CUST089</v>
          </cell>
          <cell r="C90" t="str">
            <v>customer@dummy.com</v>
          </cell>
          <cell r="G90" t="str">
            <v>Germany</v>
          </cell>
        </row>
        <row r="91">
          <cell r="A91" t="str">
            <v>CUST090</v>
          </cell>
          <cell r="C91" t="str">
            <v>customer@dummy.com</v>
          </cell>
          <cell r="G91" t="str">
            <v>Australia</v>
          </cell>
        </row>
        <row r="92">
          <cell r="A92" t="str">
            <v>CUST091</v>
          </cell>
          <cell r="C92" t="str">
            <v>customer@dummy.com</v>
          </cell>
          <cell r="G92" t="str">
            <v>India</v>
          </cell>
        </row>
        <row r="93">
          <cell r="A93" t="str">
            <v>CUST092</v>
          </cell>
          <cell r="C93" t="str">
            <v>customer@dummy.com</v>
          </cell>
          <cell r="G93" t="str">
            <v>UK</v>
          </cell>
        </row>
        <row r="94">
          <cell r="A94" t="str">
            <v>CUST093</v>
          </cell>
          <cell r="C94" t="str">
            <v>customer@dummy.com</v>
          </cell>
          <cell r="G94" t="str">
            <v>Germany</v>
          </cell>
        </row>
        <row r="95">
          <cell r="A95" t="str">
            <v>CUST094</v>
          </cell>
          <cell r="C95" t="str">
            <v>customer@dummy.com</v>
          </cell>
          <cell r="G95" t="str">
            <v>Canada</v>
          </cell>
        </row>
        <row r="96">
          <cell r="A96" t="str">
            <v>CUST095</v>
          </cell>
          <cell r="C96" t="str">
            <v>customer@dummy.com</v>
          </cell>
          <cell r="G96" t="str">
            <v>USA</v>
          </cell>
        </row>
        <row r="97">
          <cell r="A97" t="str">
            <v>CUST096</v>
          </cell>
          <cell r="G97" t="str">
            <v>Canada</v>
          </cell>
        </row>
        <row r="98">
          <cell r="A98" t="str">
            <v>CUST097</v>
          </cell>
          <cell r="C98" t="str">
            <v>customer@dummy.com</v>
          </cell>
          <cell r="G98" t="str">
            <v>UK</v>
          </cell>
        </row>
        <row r="99">
          <cell r="A99" t="str">
            <v>CUST098</v>
          </cell>
          <cell r="C99" t="str">
            <v>customer@dummy.com</v>
          </cell>
          <cell r="G99" t="str">
            <v>Germany</v>
          </cell>
        </row>
        <row r="100">
          <cell r="A100" t="str">
            <v>CUST099</v>
          </cell>
          <cell r="C100" t="str">
            <v>customer@dummy.com</v>
          </cell>
          <cell r="G100" t="str">
            <v>USA</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ducts"/>
    </sheetNames>
    <sheetDataSet>
      <sheetData sheetId="0">
        <row r="1">
          <cell r="A1" t="str">
            <v>Product ID</v>
          </cell>
          <cell r="B1" t="str">
            <v>Coffee Type</v>
          </cell>
          <cell r="C1" t="str">
            <v>Roast Type</v>
          </cell>
          <cell r="D1" t="str">
            <v>Size</v>
          </cell>
          <cell r="E1" t="str">
            <v>Unit Price</v>
          </cell>
        </row>
        <row r="2">
          <cell r="A2" t="str">
            <v>P-15</v>
          </cell>
          <cell r="B2" t="str">
            <v>Robusta</v>
          </cell>
          <cell r="C2" t="str">
            <v>M</v>
          </cell>
          <cell r="D2">
            <v>1</v>
          </cell>
          <cell r="E2">
            <v>29.852</v>
          </cell>
        </row>
        <row r="3">
          <cell r="A3" t="str">
            <v>P-07</v>
          </cell>
          <cell r="B3" t="str">
            <v>Arabica</v>
          </cell>
          <cell r="C3" t="str">
            <v>D</v>
          </cell>
          <cell r="D3">
            <v>0.2</v>
          </cell>
          <cell r="E3">
            <v>5.7619999999999996</v>
          </cell>
        </row>
        <row r="4">
          <cell r="A4" t="str">
            <v>P-08</v>
          </cell>
          <cell r="B4" t="str">
            <v>Liberica</v>
          </cell>
          <cell r="C4" t="str">
            <v>L</v>
          </cell>
          <cell r="D4">
            <v>0.5</v>
          </cell>
          <cell r="E4">
            <v>11.098000000000001</v>
          </cell>
        </row>
        <row r="5">
          <cell r="A5" t="str">
            <v>P-10</v>
          </cell>
          <cell r="B5" t="str">
            <v>Excelsa</v>
          </cell>
          <cell r="C5" t="str">
            <v>L</v>
          </cell>
          <cell r="D5">
            <v>1</v>
          </cell>
          <cell r="E5">
            <v>23.021000000000001</v>
          </cell>
        </row>
        <row r="6">
          <cell r="A6" t="str">
            <v>P-10</v>
          </cell>
          <cell r="B6" t="str">
            <v>Liberica</v>
          </cell>
          <cell r="C6" t="str">
            <v>M</v>
          </cell>
          <cell r="D6">
            <v>2.5</v>
          </cell>
          <cell r="E6">
            <v>67.557000000000002</v>
          </cell>
        </row>
        <row r="7">
          <cell r="A7" t="str">
            <v>P-08</v>
          </cell>
          <cell r="B7" t="str">
            <v>Arabica</v>
          </cell>
          <cell r="C7" t="str">
            <v>D</v>
          </cell>
          <cell r="D7">
            <v>0.2</v>
          </cell>
          <cell r="E7">
            <v>5.7910000000000004</v>
          </cell>
        </row>
        <row r="8">
          <cell r="A8" t="str">
            <v>P-20</v>
          </cell>
          <cell r="B8" t="str">
            <v>Excelsa</v>
          </cell>
          <cell r="C8" t="str">
            <v>L</v>
          </cell>
          <cell r="D8">
            <v>0.5</v>
          </cell>
          <cell r="E8">
            <v>19.291</v>
          </cell>
        </row>
        <row r="9">
          <cell r="A9" t="str">
            <v>P-13</v>
          </cell>
          <cell r="B9" t="str">
            <v>Excelsa</v>
          </cell>
          <cell r="C9" t="str">
            <v>L</v>
          </cell>
          <cell r="D9">
            <v>2.5</v>
          </cell>
          <cell r="E9">
            <v>77.019000000000005</v>
          </cell>
        </row>
        <row r="10">
          <cell r="A10" t="str">
            <v>P-09</v>
          </cell>
          <cell r="B10" t="str">
            <v>Arabica</v>
          </cell>
          <cell r="C10" t="str">
            <v>D</v>
          </cell>
          <cell r="D10">
            <v>2.5</v>
          </cell>
          <cell r="E10">
            <v>93.278999999999996</v>
          </cell>
        </row>
        <row r="11">
          <cell r="A11" t="str">
            <v>P-14</v>
          </cell>
          <cell r="B11" t="str">
            <v>Arabica</v>
          </cell>
          <cell r="C11" t="str">
            <v>M</v>
          </cell>
          <cell r="D11">
            <v>1</v>
          </cell>
          <cell r="E11">
            <v>30.213999999999999</v>
          </cell>
        </row>
        <row r="12">
          <cell r="A12" t="str">
            <v>P-09</v>
          </cell>
          <cell r="B12" t="str">
            <v>Excelsa</v>
          </cell>
          <cell r="C12" t="str">
            <v>D</v>
          </cell>
          <cell r="D12">
            <v>2.5</v>
          </cell>
          <cell r="E12">
            <v>96.073999999999998</v>
          </cell>
        </row>
        <row r="13">
          <cell r="A13" t="str">
            <v>P-02</v>
          </cell>
          <cell r="B13" t="str">
            <v>Robusta</v>
          </cell>
          <cell r="C13" t="str">
            <v>M</v>
          </cell>
          <cell r="D13">
            <v>1</v>
          </cell>
          <cell r="E13">
            <v>38.543999999999997</v>
          </cell>
        </row>
        <row r="14">
          <cell r="A14" t="str">
            <v>P-14</v>
          </cell>
          <cell r="B14" t="str">
            <v>Excelsa</v>
          </cell>
          <cell r="C14" t="str">
            <v>D</v>
          </cell>
          <cell r="D14">
            <v>2.5</v>
          </cell>
          <cell r="E14">
            <v>73.531000000000006</v>
          </cell>
        </row>
        <row r="15">
          <cell r="A15" t="str">
            <v>P-05</v>
          </cell>
          <cell r="B15" t="str">
            <v>Robusta</v>
          </cell>
          <cell r="C15" t="str">
            <v>D</v>
          </cell>
          <cell r="D15">
            <v>2.5</v>
          </cell>
          <cell r="E15">
            <v>80.451999999999998</v>
          </cell>
        </row>
        <row r="16">
          <cell r="A16" t="str">
            <v>P-04</v>
          </cell>
          <cell r="B16" t="str">
            <v>Robusta</v>
          </cell>
          <cell r="C16" t="str">
            <v>L</v>
          </cell>
          <cell r="D16">
            <v>0.5</v>
          </cell>
          <cell r="E16">
            <v>16.89</v>
          </cell>
        </row>
        <row r="17">
          <cell r="A17" t="str">
            <v>P-01</v>
          </cell>
          <cell r="B17" t="str">
            <v>Arabica</v>
          </cell>
          <cell r="C17" t="str">
            <v>L</v>
          </cell>
          <cell r="D17">
            <v>2.5</v>
          </cell>
          <cell r="E17">
            <v>61.25</v>
          </cell>
        </row>
        <row r="18">
          <cell r="A18" t="str">
            <v>P-17</v>
          </cell>
          <cell r="B18" t="str">
            <v>Arabica</v>
          </cell>
          <cell r="C18" t="str">
            <v>D</v>
          </cell>
          <cell r="D18">
            <v>2.5</v>
          </cell>
          <cell r="E18">
            <v>80.778000000000006</v>
          </cell>
        </row>
        <row r="19">
          <cell r="A19" t="str">
            <v>P-03</v>
          </cell>
          <cell r="B19" t="str">
            <v>Excelsa</v>
          </cell>
          <cell r="C19" t="str">
            <v>M</v>
          </cell>
          <cell r="D19">
            <v>2.5</v>
          </cell>
          <cell r="E19">
            <v>88.546999999999997</v>
          </cell>
        </row>
        <row r="20">
          <cell r="A20" t="str">
            <v>P-19</v>
          </cell>
          <cell r="B20" t="str">
            <v>Excelsa</v>
          </cell>
          <cell r="C20" t="str">
            <v>L</v>
          </cell>
          <cell r="D20">
            <v>0.2</v>
          </cell>
          <cell r="E20">
            <v>6.1980000000000004</v>
          </cell>
        </row>
        <row r="21">
          <cell r="A21" t="str">
            <v>P-12</v>
          </cell>
          <cell r="B21" t="str">
            <v>Excelsa</v>
          </cell>
          <cell r="C21" t="str">
            <v>D</v>
          </cell>
          <cell r="D21">
            <v>0.5</v>
          </cell>
          <cell r="E21">
            <v>18.209</v>
          </cell>
        </row>
        <row r="22">
          <cell r="A22" t="str">
            <v>P-10</v>
          </cell>
          <cell r="B22" t="str">
            <v>Robusta</v>
          </cell>
          <cell r="C22" t="str">
            <v>M</v>
          </cell>
          <cell r="D22">
            <v>2.5</v>
          </cell>
          <cell r="E22">
            <v>62.03</v>
          </cell>
        </row>
        <row r="23">
          <cell r="A23" t="str">
            <v>P-10</v>
          </cell>
          <cell r="B23" t="str">
            <v>Liberica</v>
          </cell>
          <cell r="C23" t="str">
            <v>M</v>
          </cell>
          <cell r="D23">
            <v>0.2</v>
          </cell>
          <cell r="E23">
            <v>6.9859999999999998</v>
          </cell>
        </row>
        <row r="24">
          <cell r="A24" t="str">
            <v>P-10</v>
          </cell>
          <cell r="B24" t="str">
            <v>Excelsa</v>
          </cell>
          <cell r="C24" t="str">
            <v>M</v>
          </cell>
          <cell r="D24">
            <v>1</v>
          </cell>
          <cell r="E24">
            <v>24.21</v>
          </cell>
        </row>
        <row r="25">
          <cell r="A25" t="str">
            <v>P-09</v>
          </cell>
          <cell r="B25" t="str">
            <v>Robusta</v>
          </cell>
          <cell r="C25" t="str">
            <v>M</v>
          </cell>
          <cell r="D25">
            <v>1</v>
          </cell>
          <cell r="E25">
            <v>29.388999999999999</v>
          </cell>
        </row>
        <row r="26">
          <cell r="A26" t="str">
            <v>P-11</v>
          </cell>
          <cell r="B26" t="str">
            <v>Robusta</v>
          </cell>
          <cell r="C26" t="str">
            <v>M</v>
          </cell>
          <cell r="D26">
            <v>1</v>
          </cell>
          <cell r="E26">
            <v>38.335000000000001</v>
          </cell>
        </row>
        <row r="27">
          <cell r="A27" t="str">
            <v>P-20</v>
          </cell>
          <cell r="B27" t="str">
            <v>Excelsa</v>
          </cell>
          <cell r="C27" t="str">
            <v>D</v>
          </cell>
          <cell r="D27">
            <v>2.5</v>
          </cell>
          <cell r="E27">
            <v>68.37</v>
          </cell>
        </row>
        <row r="28">
          <cell r="A28" t="str">
            <v>P-09</v>
          </cell>
          <cell r="B28" t="str">
            <v>Robusta</v>
          </cell>
          <cell r="C28" t="str">
            <v>M</v>
          </cell>
          <cell r="D28">
            <v>0.5</v>
          </cell>
          <cell r="E28">
            <v>15.855</v>
          </cell>
        </row>
        <row r="29">
          <cell r="A29" t="str">
            <v>P-09</v>
          </cell>
          <cell r="B29" t="str">
            <v>Excelsa</v>
          </cell>
          <cell r="C29" t="str">
            <v>L</v>
          </cell>
          <cell r="D29">
            <v>1</v>
          </cell>
          <cell r="E29">
            <v>27.4</v>
          </cell>
        </row>
        <row r="30">
          <cell r="A30" t="str">
            <v>P-01</v>
          </cell>
          <cell r="B30" t="str">
            <v>Robusta</v>
          </cell>
          <cell r="C30" t="str">
            <v>M</v>
          </cell>
          <cell r="D30">
            <v>2.5</v>
          </cell>
          <cell r="E30">
            <v>60.094999999999999</v>
          </cell>
        </row>
        <row r="31">
          <cell r="A31" t="str">
            <v>P-15</v>
          </cell>
          <cell r="B31" t="str">
            <v>Excelsa</v>
          </cell>
          <cell r="C31" t="str">
            <v>M</v>
          </cell>
          <cell r="D31">
            <v>0.5</v>
          </cell>
          <cell r="E31">
            <v>17.3</v>
          </cell>
        </row>
        <row r="32">
          <cell r="A32" t="str">
            <v>P-11</v>
          </cell>
          <cell r="B32" t="str">
            <v>Arabica</v>
          </cell>
          <cell r="C32" t="str">
            <v>D</v>
          </cell>
          <cell r="D32">
            <v>0.2</v>
          </cell>
          <cell r="E32">
            <v>7.7009999999999996</v>
          </cell>
        </row>
        <row r="33">
          <cell r="A33" t="str">
            <v>P-07</v>
          </cell>
          <cell r="B33" t="str">
            <v>Liberica</v>
          </cell>
          <cell r="C33" t="str">
            <v>M</v>
          </cell>
          <cell r="D33">
            <v>2.5</v>
          </cell>
          <cell r="E33">
            <v>67.418999999999997</v>
          </cell>
        </row>
        <row r="34">
          <cell r="A34" t="str">
            <v>P-15</v>
          </cell>
          <cell r="B34" t="str">
            <v>Robusta</v>
          </cell>
          <cell r="C34" t="str">
            <v>D</v>
          </cell>
          <cell r="D34">
            <v>2.5</v>
          </cell>
          <cell r="E34">
            <v>88.27</v>
          </cell>
        </row>
        <row r="35">
          <cell r="A35" t="str">
            <v>P-02</v>
          </cell>
          <cell r="B35" t="str">
            <v>Robusta</v>
          </cell>
          <cell r="C35" t="str">
            <v>L</v>
          </cell>
          <cell r="D35">
            <v>0.2</v>
          </cell>
          <cell r="E35">
            <v>4.577</v>
          </cell>
        </row>
        <row r="36">
          <cell r="A36" t="str">
            <v>P-14</v>
          </cell>
          <cell r="B36" t="str">
            <v>Liberica</v>
          </cell>
          <cell r="C36" t="str">
            <v>M</v>
          </cell>
          <cell r="D36">
            <v>2.5</v>
          </cell>
          <cell r="E36">
            <v>71.057000000000002</v>
          </cell>
        </row>
        <row r="37">
          <cell r="A37" t="str">
            <v>P-12</v>
          </cell>
          <cell r="B37" t="str">
            <v>Arabica</v>
          </cell>
          <cell r="C37" t="str">
            <v>D</v>
          </cell>
          <cell r="D37">
            <v>0.5</v>
          </cell>
          <cell r="E37">
            <v>16.036999999999999</v>
          </cell>
        </row>
        <row r="38">
          <cell r="A38" t="str">
            <v>P-14</v>
          </cell>
          <cell r="B38" t="str">
            <v>Liberica</v>
          </cell>
          <cell r="C38" t="str">
            <v>D</v>
          </cell>
          <cell r="D38">
            <v>0.2</v>
          </cell>
          <cell r="E38">
            <v>6.4770000000000003</v>
          </cell>
        </row>
        <row r="39">
          <cell r="A39" t="str">
            <v>P-02</v>
          </cell>
          <cell r="B39" t="str">
            <v>Excelsa</v>
          </cell>
          <cell r="C39" t="str">
            <v>D</v>
          </cell>
          <cell r="D39">
            <v>1</v>
          </cell>
          <cell r="E39">
            <v>23.536999999999999</v>
          </cell>
        </row>
        <row r="40">
          <cell r="A40" t="str">
            <v>P-10</v>
          </cell>
          <cell r="B40" t="str">
            <v>Robusta</v>
          </cell>
          <cell r="C40" t="str">
            <v>D</v>
          </cell>
          <cell r="D40">
            <v>0.5</v>
          </cell>
          <cell r="E40">
            <v>12.723000000000001</v>
          </cell>
        </row>
        <row r="41">
          <cell r="A41" t="str">
            <v>P-14</v>
          </cell>
          <cell r="B41" t="str">
            <v>Robusta</v>
          </cell>
          <cell r="C41" t="str">
            <v>M</v>
          </cell>
          <cell r="D41">
            <v>1</v>
          </cell>
          <cell r="E41">
            <v>24.757999999999999</v>
          </cell>
        </row>
        <row r="42">
          <cell r="A42" t="str">
            <v>P-10</v>
          </cell>
          <cell r="B42" t="str">
            <v>Robusta</v>
          </cell>
          <cell r="C42" t="str">
            <v>D</v>
          </cell>
          <cell r="D42">
            <v>0.2</v>
          </cell>
          <cell r="E42">
            <v>6.9960000000000004</v>
          </cell>
        </row>
        <row r="43">
          <cell r="A43" t="str">
            <v>P-18</v>
          </cell>
          <cell r="B43" t="str">
            <v>Excelsa</v>
          </cell>
          <cell r="C43" t="str">
            <v>M</v>
          </cell>
          <cell r="D43">
            <v>0.5</v>
          </cell>
          <cell r="E43">
            <v>16.710999999999999</v>
          </cell>
        </row>
        <row r="44">
          <cell r="A44" t="str">
            <v>P-06</v>
          </cell>
          <cell r="B44" t="str">
            <v>Liberica</v>
          </cell>
          <cell r="C44" t="str">
            <v>D</v>
          </cell>
          <cell r="D44">
            <v>1</v>
          </cell>
          <cell r="E44">
            <v>38.804000000000002</v>
          </cell>
        </row>
        <row r="45">
          <cell r="A45" t="str">
            <v>P-08</v>
          </cell>
          <cell r="B45" t="str">
            <v>Robusta</v>
          </cell>
          <cell r="C45" t="str">
            <v>L</v>
          </cell>
          <cell r="D45">
            <v>0.5</v>
          </cell>
          <cell r="E45">
            <v>11.010999999999999</v>
          </cell>
        </row>
        <row r="46">
          <cell r="A46" t="str">
            <v>P-08</v>
          </cell>
          <cell r="B46" t="str">
            <v>Liberica</v>
          </cell>
          <cell r="C46" t="str">
            <v>D</v>
          </cell>
          <cell r="D46">
            <v>0.2</v>
          </cell>
          <cell r="E46">
            <v>5.3730000000000002</v>
          </cell>
        </row>
        <row r="47">
          <cell r="A47" t="str">
            <v>P-09</v>
          </cell>
          <cell r="B47" t="str">
            <v>Robusta</v>
          </cell>
          <cell r="C47" t="str">
            <v>M</v>
          </cell>
          <cell r="D47">
            <v>0.5</v>
          </cell>
          <cell r="E47">
            <v>14.815</v>
          </cell>
        </row>
        <row r="48">
          <cell r="A48" t="str">
            <v>P-17</v>
          </cell>
          <cell r="B48" t="str">
            <v>Liberica</v>
          </cell>
          <cell r="C48" t="str">
            <v>D</v>
          </cell>
          <cell r="D48">
            <v>0.2</v>
          </cell>
          <cell r="E48">
            <v>5.0090000000000003</v>
          </cell>
        </row>
        <row r="49">
          <cell r="A49" t="str">
            <v>P-16</v>
          </cell>
          <cell r="B49" t="str">
            <v>Excelsa</v>
          </cell>
          <cell r="C49" t="str">
            <v>D</v>
          </cell>
          <cell r="D49">
            <v>0.2</v>
          </cell>
          <cell r="E49">
            <v>6.774</v>
          </cell>
        </row>
        <row r="50">
          <cell r="A50" t="str">
            <v>P-04</v>
          </cell>
          <cell r="B50" t="str">
            <v>Arabica</v>
          </cell>
          <cell r="C50" t="str">
            <v>D</v>
          </cell>
          <cell r="D50">
            <v>0.2</v>
          </cell>
          <cell r="E50">
            <v>7.6870000000000003</v>
          </cell>
        </row>
        <row r="51">
          <cell r="A51" t="str">
            <v>P-04</v>
          </cell>
          <cell r="B51" t="str">
            <v>Excelsa</v>
          </cell>
          <cell r="C51" t="str">
            <v>D</v>
          </cell>
          <cell r="D51">
            <v>2.5</v>
          </cell>
          <cell r="E51">
            <v>80.37</v>
          </cell>
        </row>
        <row r="52">
          <cell r="A52" t="str">
            <v>P-19</v>
          </cell>
          <cell r="B52" t="str">
            <v>Liberica</v>
          </cell>
          <cell r="C52" t="str">
            <v>M</v>
          </cell>
          <cell r="D52">
            <v>0.5</v>
          </cell>
          <cell r="E52">
            <v>17.056000000000001</v>
          </cell>
        </row>
        <row r="53">
          <cell r="A53" t="str">
            <v>P-02</v>
          </cell>
          <cell r="B53" t="str">
            <v>Liberica</v>
          </cell>
          <cell r="C53" t="str">
            <v>D</v>
          </cell>
          <cell r="D53">
            <v>2.5</v>
          </cell>
          <cell r="E53">
            <v>55.165999999999997</v>
          </cell>
        </row>
        <row r="54">
          <cell r="A54" t="str">
            <v>P-08</v>
          </cell>
          <cell r="B54" t="str">
            <v>Robusta</v>
          </cell>
          <cell r="C54" t="str">
            <v>D</v>
          </cell>
          <cell r="D54">
            <v>0.5</v>
          </cell>
          <cell r="E54">
            <v>19.331</v>
          </cell>
        </row>
        <row r="55">
          <cell r="A55" t="str">
            <v>P-01</v>
          </cell>
          <cell r="B55" t="str">
            <v>Arabica</v>
          </cell>
          <cell r="C55" t="str">
            <v>M</v>
          </cell>
          <cell r="D55">
            <v>0.2</v>
          </cell>
          <cell r="E55">
            <v>4.6159999999999997</v>
          </cell>
        </row>
        <row r="56">
          <cell r="A56" t="str">
            <v>P-17</v>
          </cell>
          <cell r="B56" t="str">
            <v>Arabica</v>
          </cell>
          <cell r="C56" t="str">
            <v>L</v>
          </cell>
          <cell r="D56">
            <v>0.2</v>
          </cell>
          <cell r="E56">
            <v>7.4950000000000001</v>
          </cell>
        </row>
        <row r="57">
          <cell r="A57" t="str">
            <v>P-14</v>
          </cell>
          <cell r="B57" t="str">
            <v>Arabica</v>
          </cell>
          <cell r="C57" t="str">
            <v>M</v>
          </cell>
          <cell r="D57">
            <v>1</v>
          </cell>
          <cell r="E57">
            <v>26.07</v>
          </cell>
        </row>
        <row r="58">
          <cell r="A58" t="str">
            <v>P-02</v>
          </cell>
          <cell r="B58" t="str">
            <v>Excelsa</v>
          </cell>
          <cell r="C58" t="str">
            <v>L</v>
          </cell>
          <cell r="D58">
            <v>2.5</v>
          </cell>
          <cell r="E58">
            <v>72.709999999999994</v>
          </cell>
        </row>
        <row r="59">
          <cell r="A59" t="str">
            <v>P-05</v>
          </cell>
          <cell r="B59" t="str">
            <v>Liberica</v>
          </cell>
          <cell r="C59" t="str">
            <v>M</v>
          </cell>
          <cell r="D59">
            <v>0.5</v>
          </cell>
          <cell r="E59">
            <v>14.015000000000001</v>
          </cell>
        </row>
        <row r="60">
          <cell r="A60" t="str">
            <v>P-03</v>
          </cell>
          <cell r="B60" t="str">
            <v>Arabica</v>
          </cell>
          <cell r="C60" t="str">
            <v>L</v>
          </cell>
          <cell r="D60">
            <v>1</v>
          </cell>
          <cell r="E60">
            <v>35.494</v>
          </cell>
        </row>
        <row r="61">
          <cell r="A61" t="str">
            <v>P-15</v>
          </cell>
          <cell r="B61" t="str">
            <v>Robusta</v>
          </cell>
          <cell r="C61" t="str">
            <v>D</v>
          </cell>
          <cell r="D61">
            <v>0.2</v>
          </cell>
          <cell r="E61">
            <v>6.1070000000000002</v>
          </cell>
        </row>
        <row r="62">
          <cell r="A62" t="str">
            <v>P-15</v>
          </cell>
          <cell r="B62" t="str">
            <v>Robusta</v>
          </cell>
          <cell r="C62" t="str">
            <v>L</v>
          </cell>
          <cell r="D62">
            <v>0.2</v>
          </cell>
          <cell r="E62">
            <v>7.335</v>
          </cell>
        </row>
        <row r="63">
          <cell r="A63" t="str">
            <v>P-20</v>
          </cell>
          <cell r="B63" t="str">
            <v>Liberica</v>
          </cell>
          <cell r="C63" t="str">
            <v>L</v>
          </cell>
          <cell r="D63">
            <v>1</v>
          </cell>
          <cell r="E63">
            <v>37.628999999999998</v>
          </cell>
        </row>
        <row r="64">
          <cell r="A64" t="str">
            <v>P-17</v>
          </cell>
          <cell r="B64" t="str">
            <v>Robusta</v>
          </cell>
          <cell r="C64" t="str">
            <v>L</v>
          </cell>
          <cell r="D64">
            <v>2.5</v>
          </cell>
          <cell r="E64">
            <v>65.77</v>
          </cell>
        </row>
        <row r="65">
          <cell r="A65" t="str">
            <v>P-19</v>
          </cell>
          <cell r="B65" t="str">
            <v>Liberica</v>
          </cell>
          <cell r="C65" t="str">
            <v>D</v>
          </cell>
          <cell r="D65">
            <v>0.5</v>
          </cell>
          <cell r="E65">
            <v>18.533999999999999</v>
          </cell>
        </row>
        <row r="66">
          <cell r="A66" t="str">
            <v>P-06</v>
          </cell>
          <cell r="B66" t="str">
            <v>Robusta</v>
          </cell>
          <cell r="C66" t="str">
            <v>L</v>
          </cell>
          <cell r="D66">
            <v>0.5</v>
          </cell>
          <cell r="E66">
            <v>15.94</v>
          </cell>
        </row>
        <row r="67">
          <cell r="A67" t="str">
            <v>P-09</v>
          </cell>
          <cell r="B67" t="str">
            <v>Robusta</v>
          </cell>
          <cell r="C67" t="str">
            <v>M</v>
          </cell>
          <cell r="D67">
            <v>0.2</v>
          </cell>
          <cell r="E67">
            <v>6.2880000000000003</v>
          </cell>
        </row>
        <row r="68">
          <cell r="A68" t="str">
            <v>P-01</v>
          </cell>
          <cell r="B68" t="str">
            <v>Robusta</v>
          </cell>
          <cell r="C68" t="str">
            <v>M</v>
          </cell>
          <cell r="D68">
            <v>0.2</v>
          </cell>
          <cell r="E68">
            <v>5.97</v>
          </cell>
        </row>
        <row r="69">
          <cell r="A69" t="str">
            <v>P-13</v>
          </cell>
          <cell r="B69" t="str">
            <v>Robusta</v>
          </cell>
          <cell r="C69" t="str">
            <v>M</v>
          </cell>
          <cell r="D69">
            <v>0.2</v>
          </cell>
          <cell r="E69">
            <v>4.9249999999999998</v>
          </cell>
        </row>
        <row r="70">
          <cell r="A70" t="str">
            <v>P-09</v>
          </cell>
          <cell r="B70" t="str">
            <v>Arabica</v>
          </cell>
          <cell r="C70" t="str">
            <v>L</v>
          </cell>
          <cell r="D70">
            <v>0.5</v>
          </cell>
          <cell r="E70">
            <v>14.635999999999999</v>
          </cell>
        </row>
        <row r="71">
          <cell r="A71" t="str">
            <v>P-14</v>
          </cell>
          <cell r="B71" t="str">
            <v>Excelsa</v>
          </cell>
          <cell r="C71" t="str">
            <v>M</v>
          </cell>
          <cell r="D71">
            <v>1</v>
          </cell>
          <cell r="E71">
            <v>23.042999999999999</v>
          </cell>
        </row>
        <row r="72">
          <cell r="A72" t="str">
            <v>P-14</v>
          </cell>
          <cell r="B72" t="str">
            <v>Excelsa</v>
          </cell>
          <cell r="C72" t="str">
            <v>D</v>
          </cell>
          <cell r="D72">
            <v>1</v>
          </cell>
          <cell r="E72">
            <v>37.482999999999997</v>
          </cell>
        </row>
        <row r="73">
          <cell r="A73" t="str">
            <v>P-15</v>
          </cell>
          <cell r="B73" t="str">
            <v>Excelsa</v>
          </cell>
          <cell r="C73" t="str">
            <v>D</v>
          </cell>
          <cell r="D73">
            <v>2.5</v>
          </cell>
          <cell r="E73">
            <v>70.707999999999998</v>
          </cell>
        </row>
        <row r="74">
          <cell r="A74" t="str">
            <v>P-06</v>
          </cell>
          <cell r="B74" t="str">
            <v>Arabica</v>
          </cell>
          <cell r="C74" t="str">
            <v>L</v>
          </cell>
          <cell r="D74">
            <v>2.5</v>
          </cell>
          <cell r="E74">
            <v>90.527000000000001</v>
          </cell>
        </row>
        <row r="75">
          <cell r="A75" t="str">
            <v>P-16</v>
          </cell>
          <cell r="B75" t="str">
            <v>Liberica</v>
          </cell>
          <cell r="C75" t="str">
            <v>D</v>
          </cell>
          <cell r="D75">
            <v>0.5</v>
          </cell>
          <cell r="E75">
            <v>12.54</v>
          </cell>
        </row>
        <row r="76">
          <cell r="A76" t="str">
            <v>P-02</v>
          </cell>
          <cell r="B76" t="str">
            <v>Arabica</v>
          </cell>
          <cell r="C76" t="str">
            <v>M</v>
          </cell>
          <cell r="D76">
            <v>0.2</v>
          </cell>
          <cell r="E76">
            <v>7.7130000000000001</v>
          </cell>
        </row>
        <row r="77">
          <cell r="A77" t="str">
            <v>P-15</v>
          </cell>
          <cell r="B77" t="str">
            <v>Excelsa</v>
          </cell>
          <cell r="C77" t="str">
            <v>D</v>
          </cell>
          <cell r="D77">
            <v>1</v>
          </cell>
          <cell r="E77">
            <v>33.850999999999999</v>
          </cell>
        </row>
        <row r="78">
          <cell r="A78" t="str">
            <v>P-10</v>
          </cell>
          <cell r="B78" t="str">
            <v>Excelsa</v>
          </cell>
          <cell r="C78" t="str">
            <v>M</v>
          </cell>
          <cell r="D78">
            <v>1</v>
          </cell>
          <cell r="E78">
            <v>32.872</v>
          </cell>
        </row>
        <row r="79">
          <cell r="A79" t="str">
            <v>P-16</v>
          </cell>
          <cell r="B79" t="str">
            <v>Arabica</v>
          </cell>
          <cell r="C79" t="str">
            <v>D</v>
          </cell>
          <cell r="D79">
            <v>0.5</v>
          </cell>
          <cell r="E79">
            <v>14.468</v>
          </cell>
        </row>
        <row r="80">
          <cell r="A80" t="str">
            <v>P-04</v>
          </cell>
          <cell r="B80" t="str">
            <v>Liberica</v>
          </cell>
          <cell r="C80" t="str">
            <v>L</v>
          </cell>
          <cell r="D80">
            <v>2.5</v>
          </cell>
          <cell r="E80">
            <v>86.962000000000003</v>
          </cell>
        </row>
        <row r="81">
          <cell r="A81" t="str">
            <v>P-17</v>
          </cell>
          <cell r="B81" t="str">
            <v>Arabica</v>
          </cell>
          <cell r="C81" t="str">
            <v>M</v>
          </cell>
          <cell r="D81">
            <v>0.5</v>
          </cell>
          <cell r="E81">
            <v>12.481</v>
          </cell>
        </row>
        <row r="82">
          <cell r="A82" t="str">
            <v>P-03</v>
          </cell>
          <cell r="B82" t="str">
            <v>Arabica</v>
          </cell>
          <cell r="C82" t="str">
            <v>D</v>
          </cell>
          <cell r="D82">
            <v>2.5</v>
          </cell>
          <cell r="E82">
            <v>71.108000000000004</v>
          </cell>
        </row>
        <row r="83">
          <cell r="A83" t="str">
            <v>P-01</v>
          </cell>
          <cell r="B83" t="str">
            <v>Liberica</v>
          </cell>
          <cell r="C83" t="str">
            <v>M</v>
          </cell>
          <cell r="D83">
            <v>0.2</v>
          </cell>
          <cell r="E83">
            <v>4.5220000000000002</v>
          </cell>
        </row>
        <row r="84">
          <cell r="A84" t="str">
            <v>P-13</v>
          </cell>
          <cell r="B84" t="str">
            <v>Robusta</v>
          </cell>
          <cell r="C84" t="str">
            <v>L</v>
          </cell>
          <cell r="D84">
            <v>0.2</v>
          </cell>
          <cell r="E84">
            <v>6.0519999999999996</v>
          </cell>
        </row>
        <row r="85">
          <cell r="A85" t="str">
            <v>P-07</v>
          </cell>
          <cell r="B85" t="str">
            <v>Arabica</v>
          </cell>
          <cell r="C85" t="str">
            <v>D</v>
          </cell>
          <cell r="D85">
            <v>0.2</v>
          </cell>
          <cell r="E85">
            <v>6.6349999999999998</v>
          </cell>
        </row>
        <row r="86">
          <cell r="A86" t="str">
            <v>P-06</v>
          </cell>
          <cell r="B86" t="str">
            <v>Liberica</v>
          </cell>
          <cell r="C86" t="str">
            <v>M</v>
          </cell>
          <cell r="D86">
            <v>0.2</v>
          </cell>
          <cell r="E86">
            <v>7.4489999999999998</v>
          </cell>
        </row>
        <row r="87">
          <cell r="A87" t="str">
            <v>P-03</v>
          </cell>
          <cell r="B87" t="str">
            <v>Arabica</v>
          </cell>
          <cell r="C87" t="str">
            <v>L</v>
          </cell>
          <cell r="D87">
            <v>2.5</v>
          </cell>
          <cell r="E87">
            <v>73.716999999999999</v>
          </cell>
        </row>
        <row r="88">
          <cell r="A88" t="str">
            <v>P-05</v>
          </cell>
          <cell r="B88" t="str">
            <v>Liberica</v>
          </cell>
          <cell r="C88" t="str">
            <v>M</v>
          </cell>
          <cell r="D88">
            <v>0.5</v>
          </cell>
          <cell r="E88">
            <v>17.404</v>
          </cell>
        </row>
        <row r="89">
          <cell r="A89" t="str">
            <v>P-16</v>
          </cell>
          <cell r="B89" t="str">
            <v>Robusta</v>
          </cell>
          <cell r="C89" t="str">
            <v>L</v>
          </cell>
          <cell r="D89">
            <v>0.5</v>
          </cell>
          <cell r="E89">
            <v>14.855</v>
          </cell>
        </row>
        <row r="90">
          <cell r="A90" t="str">
            <v>P-13</v>
          </cell>
          <cell r="B90" t="str">
            <v>Arabica</v>
          </cell>
          <cell r="C90" t="str">
            <v>L</v>
          </cell>
          <cell r="D90">
            <v>0.2</v>
          </cell>
          <cell r="E90">
            <v>5.569</v>
          </cell>
        </row>
        <row r="91">
          <cell r="A91" t="str">
            <v>P-17</v>
          </cell>
          <cell r="B91" t="str">
            <v>Arabica</v>
          </cell>
          <cell r="C91" t="str">
            <v>L</v>
          </cell>
          <cell r="D91">
            <v>1</v>
          </cell>
          <cell r="E91">
            <v>35.613999999999997</v>
          </cell>
        </row>
        <row r="92">
          <cell r="A92" t="str">
            <v>P-06</v>
          </cell>
          <cell r="B92" t="str">
            <v>Robusta</v>
          </cell>
          <cell r="C92" t="str">
            <v>D</v>
          </cell>
          <cell r="D92">
            <v>0.5</v>
          </cell>
          <cell r="E92">
            <v>12.275</v>
          </cell>
        </row>
        <row r="93">
          <cell r="A93" t="str">
            <v>P-20</v>
          </cell>
          <cell r="B93" t="str">
            <v>Robusta</v>
          </cell>
          <cell r="C93" t="str">
            <v>M</v>
          </cell>
          <cell r="D93">
            <v>0.2</v>
          </cell>
          <cell r="E93">
            <v>4.5110000000000001</v>
          </cell>
        </row>
        <row r="94">
          <cell r="A94" t="str">
            <v>P-20</v>
          </cell>
          <cell r="B94" t="str">
            <v>Liberica</v>
          </cell>
          <cell r="C94" t="str">
            <v>D</v>
          </cell>
          <cell r="D94">
            <v>1</v>
          </cell>
          <cell r="E94">
            <v>36.137999999999998</v>
          </cell>
        </row>
        <row r="95">
          <cell r="A95" t="str">
            <v>P-07</v>
          </cell>
          <cell r="B95" t="str">
            <v>Excelsa</v>
          </cell>
          <cell r="C95" t="str">
            <v>M</v>
          </cell>
          <cell r="D95">
            <v>0.2</v>
          </cell>
          <cell r="E95">
            <v>6.367</v>
          </cell>
        </row>
        <row r="96">
          <cell r="A96" t="str">
            <v>P-08</v>
          </cell>
          <cell r="B96" t="str">
            <v>Excelsa</v>
          </cell>
          <cell r="C96" t="str">
            <v>M</v>
          </cell>
          <cell r="D96">
            <v>0.2</v>
          </cell>
          <cell r="E96">
            <v>7.2489999999999997</v>
          </cell>
        </row>
        <row r="97">
          <cell r="A97" t="str">
            <v>P-07</v>
          </cell>
          <cell r="B97" t="str">
            <v>Arabica</v>
          </cell>
          <cell r="C97" t="str">
            <v>D</v>
          </cell>
          <cell r="D97">
            <v>0.5</v>
          </cell>
          <cell r="E97">
            <v>11.686999999999999</v>
          </cell>
        </row>
        <row r="98">
          <cell r="A98" t="str">
            <v>P-02</v>
          </cell>
          <cell r="B98" t="str">
            <v>Arabica</v>
          </cell>
          <cell r="C98" t="str">
            <v>D</v>
          </cell>
          <cell r="D98">
            <v>2.5</v>
          </cell>
          <cell r="E98">
            <v>73.028999999999996</v>
          </cell>
        </row>
        <row r="99">
          <cell r="A99" t="str">
            <v>P-20</v>
          </cell>
          <cell r="B99" t="str">
            <v>Arabica</v>
          </cell>
          <cell r="C99" t="str">
            <v>D</v>
          </cell>
          <cell r="D99">
            <v>1</v>
          </cell>
          <cell r="E99">
            <v>23.108000000000001</v>
          </cell>
        </row>
        <row r="100">
          <cell r="A100" t="str">
            <v>P-15</v>
          </cell>
          <cell r="B100" t="str">
            <v>Excelsa</v>
          </cell>
          <cell r="C100" t="str">
            <v>D</v>
          </cell>
          <cell r="D100">
            <v>0.2</v>
          </cell>
          <cell r="E100">
            <v>4.5739999999999998</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ers"/>
    </sheetNames>
    <sheetDataSet>
      <sheetData sheetId="0">
        <row r="1">
          <cell r="A1" t="str">
            <v>Customer ID</v>
          </cell>
          <cell r="I1" t="str">
            <v>Loyalty Card</v>
          </cell>
        </row>
        <row r="2">
          <cell r="A2" t="str">
            <v>CUST001</v>
          </cell>
          <cell r="I2" t="str">
            <v>Yes</v>
          </cell>
        </row>
        <row r="3">
          <cell r="A3" t="str">
            <v>CUST002</v>
          </cell>
          <cell r="I3" t="str">
            <v>Yes</v>
          </cell>
        </row>
        <row r="4">
          <cell r="A4" t="str">
            <v>CUST003</v>
          </cell>
          <cell r="I4" t="str">
            <v>No</v>
          </cell>
        </row>
        <row r="5">
          <cell r="A5" t="str">
            <v>CUST004</v>
          </cell>
          <cell r="I5" t="str">
            <v>Yes</v>
          </cell>
        </row>
        <row r="6">
          <cell r="A6" t="str">
            <v>CUST005</v>
          </cell>
          <cell r="I6" t="str">
            <v>No</v>
          </cell>
        </row>
        <row r="7">
          <cell r="A7" t="str">
            <v>CUST006</v>
          </cell>
          <cell r="I7" t="str">
            <v>No</v>
          </cell>
        </row>
        <row r="8">
          <cell r="A8" t="str">
            <v>CUST007</v>
          </cell>
          <cell r="I8" t="str">
            <v>No</v>
          </cell>
        </row>
        <row r="9">
          <cell r="A9" t="str">
            <v>CUST008</v>
          </cell>
          <cell r="I9" t="str">
            <v>Yes</v>
          </cell>
        </row>
        <row r="10">
          <cell r="A10" t="str">
            <v>CUST009</v>
          </cell>
          <cell r="I10" t="str">
            <v>Yes</v>
          </cell>
        </row>
        <row r="11">
          <cell r="A11" t="str">
            <v>CUST010</v>
          </cell>
          <cell r="I11" t="str">
            <v>Yes</v>
          </cell>
        </row>
        <row r="12">
          <cell r="A12" t="str">
            <v>CUST011</v>
          </cell>
          <cell r="I12" t="str">
            <v>No</v>
          </cell>
        </row>
        <row r="13">
          <cell r="A13" t="str">
            <v>CUST012</v>
          </cell>
          <cell r="I13" t="str">
            <v>No</v>
          </cell>
        </row>
        <row r="14">
          <cell r="A14" t="str">
            <v>CUST013</v>
          </cell>
          <cell r="I14" t="str">
            <v>No</v>
          </cell>
        </row>
        <row r="15">
          <cell r="A15" t="str">
            <v>CUST014</v>
          </cell>
          <cell r="I15" t="str">
            <v>Yes</v>
          </cell>
        </row>
        <row r="16">
          <cell r="A16" t="str">
            <v>CUST015</v>
          </cell>
          <cell r="I16" t="str">
            <v>No</v>
          </cell>
        </row>
        <row r="17">
          <cell r="A17" t="str">
            <v>CUST016</v>
          </cell>
          <cell r="I17" t="str">
            <v>No</v>
          </cell>
        </row>
        <row r="18">
          <cell r="A18" t="str">
            <v>CUST017</v>
          </cell>
          <cell r="I18" t="str">
            <v>Yes</v>
          </cell>
        </row>
        <row r="19">
          <cell r="A19" t="str">
            <v>CUST018</v>
          </cell>
          <cell r="I19" t="str">
            <v>Yes</v>
          </cell>
        </row>
        <row r="20">
          <cell r="A20" t="str">
            <v>CUST019</v>
          </cell>
          <cell r="I20" t="str">
            <v>No</v>
          </cell>
        </row>
        <row r="21">
          <cell r="A21" t="str">
            <v>CUST020</v>
          </cell>
          <cell r="I21" t="str">
            <v>Yes</v>
          </cell>
        </row>
        <row r="22">
          <cell r="A22" t="str">
            <v>CUST021</v>
          </cell>
          <cell r="I22" t="str">
            <v>No</v>
          </cell>
        </row>
        <row r="23">
          <cell r="A23" t="str">
            <v>CUST022</v>
          </cell>
          <cell r="I23" t="str">
            <v>No</v>
          </cell>
        </row>
        <row r="24">
          <cell r="A24" t="str">
            <v>CUST023</v>
          </cell>
          <cell r="I24" t="str">
            <v>Yes</v>
          </cell>
        </row>
        <row r="25">
          <cell r="A25" t="str">
            <v>CUST024</v>
          </cell>
          <cell r="I25" t="str">
            <v>No</v>
          </cell>
        </row>
        <row r="26">
          <cell r="A26" t="str">
            <v>CUST025</v>
          </cell>
          <cell r="I26" t="str">
            <v>Yes</v>
          </cell>
        </row>
        <row r="27">
          <cell r="A27" t="str">
            <v>CUST026</v>
          </cell>
          <cell r="I27" t="str">
            <v>No</v>
          </cell>
        </row>
        <row r="28">
          <cell r="A28" t="str">
            <v>CUST027</v>
          </cell>
          <cell r="I28" t="str">
            <v>Yes</v>
          </cell>
        </row>
        <row r="29">
          <cell r="A29" t="str">
            <v>CUST028</v>
          </cell>
          <cell r="I29" t="str">
            <v>No</v>
          </cell>
        </row>
        <row r="30">
          <cell r="A30" t="str">
            <v>CUST029</v>
          </cell>
          <cell r="I30" t="str">
            <v>Yes</v>
          </cell>
        </row>
        <row r="31">
          <cell r="A31" t="str">
            <v>CUST030</v>
          </cell>
          <cell r="I31" t="str">
            <v>Yes</v>
          </cell>
        </row>
        <row r="32">
          <cell r="A32" t="str">
            <v>CUST031</v>
          </cell>
          <cell r="I32" t="str">
            <v>Yes</v>
          </cell>
        </row>
        <row r="33">
          <cell r="A33" t="str">
            <v>CUST032</v>
          </cell>
          <cell r="I33" t="str">
            <v>Yes</v>
          </cell>
        </row>
        <row r="34">
          <cell r="A34" t="str">
            <v>CUST033</v>
          </cell>
          <cell r="I34" t="str">
            <v>No</v>
          </cell>
        </row>
        <row r="35">
          <cell r="A35" t="str">
            <v>CUST034</v>
          </cell>
          <cell r="I35" t="str">
            <v>Yes</v>
          </cell>
        </row>
        <row r="36">
          <cell r="A36" t="str">
            <v>CUST035</v>
          </cell>
          <cell r="I36" t="str">
            <v>No</v>
          </cell>
        </row>
        <row r="37">
          <cell r="A37" t="str">
            <v>CUST036</v>
          </cell>
          <cell r="I37" t="str">
            <v>Yes</v>
          </cell>
        </row>
        <row r="38">
          <cell r="A38" t="str">
            <v>CUST037</v>
          </cell>
          <cell r="I38" t="str">
            <v>No</v>
          </cell>
        </row>
        <row r="39">
          <cell r="A39" t="str">
            <v>CUST038</v>
          </cell>
          <cell r="I39" t="str">
            <v>Yes</v>
          </cell>
        </row>
        <row r="40">
          <cell r="A40" t="str">
            <v>CUST039</v>
          </cell>
          <cell r="I40" t="str">
            <v>Yes</v>
          </cell>
        </row>
        <row r="41">
          <cell r="A41" t="str">
            <v>CUST040</v>
          </cell>
          <cell r="I41" t="str">
            <v>Yes</v>
          </cell>
        </row>
        <row r="42">
          <cell r="A42" t="str">
            <v>CUST041</v>
          </cell>
          <cell r="I42" t="str">
            <v>No</v>
          </cell>
        </row>
        <row r="43">
          <cell r="A43" t="str">
            <v>CUST042</v>
          </cell>
          <cell r="I43" t="str">
            <v>Yes</v>
          </cell>
        </row>
        <row r="44">
          <cell r="A44" t="str">
            <v>CUST043</v>
          </cell>
          <cell r="I44" t="str">
            <v>Yes</v>
          </cell>
        </row>
        <row r="45">
          <cell r="A45" t="str">
            <v>CUST044</v>
          </cell>
          <cell r="I45" t="str">
            <v>No</v>
          </cell>
        </row>
        <row r="46">
          <cell r="A46" t="str">
            <v>CUST045</v>
          </cell>
          <cell r="I46" t="str">
            <v>Yes</v>
          </cell>
        </row>
        <row r="47">
          <cell r="A47" t="str">
            <v>CUST046</v>
          </cell>
          <cell r="I47" t="str">
            <v>No</v>
          </cell>
        </row>
        <row r="48">
          <cell r="A48" t="str">
            <v>CUST047</v>
          </cell>
          <cell r="I48" t="str">
            <v>Yes</v>
          </cell>
        </row>
        <row r="49">
          <cell r="A49" t="str">
            <v>CUST048</v>
          </cell>
          <cell r="I49" t="str">
            <v>No</v>
          </cell>
        </row>
        <row r="50">
          <cell r="A50" t="str">
            <v>CUST049</v>
          </cell>
          <cell r="I50" t="str">
            <v>No</v>
          </cell>
        </row>
        <row r="51">
          <cell r="A51" t="str">
            <v>CUST050</v>
          </cell>
          <cell r="I51" t="str">
            <v>Yes</v>
          </cell>
        </row>
        <row r="52">
          <cell r="A52" t="str">
            <v>CUST051</v>
          </cell>
          <cell r="I52" t="str">
            <v>No</v>
          </cell>
        </row>
        <row r="53">
          <cell r="A53" t="str">
            <v>CUST052</v>
          </cell>
          <cell r="I53" t="str">
            <v>No</v>
          </cell>
        </row>
        <row r="54">
          <cell r="A54" t="str">
            <v>CUST053</v>
          </cell>
          <cell r="I54" t="str">
            <v>Yes</v>
          </cell>
        </row>
        <row r="55">
          <cell r="A55" t="str">
            <v>CUST054</v>
          </cell>
          <cell r="I55" t="str">
            <v>No</v>
          </cell>
        </row>
        <row r="56">
          <cell r="A56" t="str">
            <v>CUST055</v>
          </cell>
          <cell r="I56" t="str">
            <v>No</v>
          </cell>
        </row>
        <row r="57">
          <cell r="A57" t="str">
            <v>CUST056</v>
          </cell>
          <cell r="I57" t="str">
            <v>Yes</v>
          </cell>
        </row>
        <row r="58">
          <cell r="A58" t="str">
            <v>CUST057</v>
          </cell>
          <cell r="I58" t="str">
            <v>Yes</v>
          </cell>
        </row>
        <row r="59">
          <cell r="A59" t="str">
            <v>CUST058</v>
          </cell>
          <cell r="I59" t="str">
            <v>No</v>
          </cell>
        </row>
        <row r="60">
          <cell r="A60" t="str">
            <v>CUST059</v>
          </cell>
          <cell r="I60" t="str">
            <v>No</v>
          </cell>
        </row>
        <row r="61">
          <cell r="A61" t="str">
            <v>CUST060</v>
          </cell>
          <cell r="I61" t="str">
            <v>No</v>
          </cell>
        </row>
        <row r="62">
          <cell r="A62" t="str">
            <v>CUST061</v>
          </cell>
          <cell r="I62" t="str">
            <v>Yes</v>
          </cell>
        </row>
        <row r="63">
          <cell r="A63" t="str">
            <v>CUST062</v>
          </cell>
          <cell r="I63" t="str">
            <v>Yes</v>
          </cell>
        </row>
        <row r="64">
          <cell r="A64" t="str">
            <v>CUST063</v>
          </cell>
          <cell r="I64" t="str">
            <v>Yes</v>
          </cell>
        </row>
        <row r="65">
          <cell r="A65" t="str">
            <v>CUST064</v>
          </cell>
          <cell r="I65" t="str">
            <v>Yes</v>
          </cell>
        </row>
        <row r="66">
          <cell r="A66" t="str">
            <v>CUST065</v>
          </cell>
          <cell r="I66" t="str">
            <v>No</v>
          </cell>
        </row>
        <row r="67">
          <cell r="A67" t="str">
            <v>CUST066</v>
          </cell>
          <cell r="I67" t="str">
            <v>No</v>
          </cell>
        </row>
        <row r="68">
          <cell r="A68" t="str">
            <v>CUST067</v>
          </cell>
          <cell r="I68" t="str">
            <v>No</v>
          </cell>
        </row>
        <row r="69">
          <cell r="A69" t="str">
            <v>CUST068</v>
          </cell>
          <cell r="I69" t="str">
            <v>Yes</v>
          </cell>
        </row>
        <row r="70">
          <cell r="A70" t="str">
            <v>CUST069</v>
          </cell>
          <cell r="I70" t="str">
            <v>Yes</v>
          </cell>
        </row>
        <row r="71">
          <cell r="A71" t="str">
            <v>CUST070</v>
          </cell>
          <cell r="I71" t="str">
            <v>No</v>
          </cell>
        </row>
        <row r="72">
          <cell r="A72" t="str">
            <v>CUST071</v>
          </cell>
          <cell r="I72" t="str">
            <v>No</v>
          </cell>
        </row>
        <row r="73">
          <cell r="A73" t="str">
            <v>CUST072</v>
          </cell>
          <cell r="I73" t="str">
            <v>Yes</v>
          </cell>
        </row>
        <row r="74">
          <cell r="A74" t="str">
            <v>CUST073</v>
          </cell>
          <cell r="I74" t="str">
            <v>No</v>
          </cell>
        </row>
        <row r="75">
          <cell r="A75" t="str">
            <v>CUST074</v>
          </cell>
          <cell r="I75" t="str">
            <v>No</v>
          </cell>
        </row>
        <row r="76">
          <cell r="A76" t="str">
            <v>CUST075</v>
          </cell>
          <cell r="I76" t="str">
            <v>No</v>
          </cell>
        </row>
        <row r="77">
          <cell r="A77" t="str">
            <v>CUST076</v>
          </cell>
          <cell r="I77" t="str">
            <v>Yes</v>
          </cell>
        </row>
        <row r="78">
          <cell r="A78" t="str">
            <v>CUST077</v>
          </cell>
          <cell r="I78" t="str">
            <v>No</v>
          </cell>
        </row>
        <row r="79">
          <cell r="A79" t="str">
            <v>CUST078</v>
          </cell>
          <cell r="I79" t="str">
            <v>No</v>
          </cell>
        </row>
        <row r="80">
          <cell r="A80" t="str">
            <v>CUST079</v>
          </cell>
          <cell r="I80" t="str">
            <v>No</v>
          </cell>
        </row>
        <row r="81">
          <cell r="A81" t="str">
            <v>CUST080</v>
          </cell>
          <cell r="I81" t="str">
            <v>Yes</v>
          </cell>
        </row>
        <row r="82">
          <cell r="A82" t="str">
            <v>CUST081</v>
          </cell>
          <cell r="I82" t="str">
            <v>Yes</v>
          </cell>
        </row>
        <row r="83">
          <cell r="A83" t="str">
            <v>CUST082</v>
          </cell>
          <cell r="I83" t="str">
            <v>No</v>
          </cell>
        </row>
        <row r="84">
          <cell r="A84" t="str">
            <v>CUST083</v>
          </cell>
          <cell r="I84" t="str">
            <v>No</v>
          </cell>
        </row>
        <row r="85">
          <cell r="A85" t="str">
            <v>CUST084</v>
          </cell>
          <cell r="I85" t="str">
            <v>Yes</v>
          </cell>
        </row>
        <row r="86">
          <cell r="A86" t="str">
            <v>CUST085</v>
          </cell>
          <cell r="I86" t="str">
            <v>No</v>
          </cell>
        </row>
        <row r="87">
          <cell r="A87" t="str">
            <v>CUST086</v>
          </cell>
          <cell r="I87" t="str">
            <v>No</v>
          </cell>
        </row>
        <row r="88">
          <cell r="A88" t="str">
            <v>CUST087</v>
          </cell>
          <cell r="I88" t="str">
            <v>No</v>
          </cell>
        </row>
        <row r="89">
          <cell r="A89" t="str">
            <v>CUST088</v>
          </cell>
          <cell r="I89" t="str">
            <v>No</v>
          </cell>
        </row>
        <row r="90">
          <cell r="A90" t="str">
            <v>CUST089</v>
          </cell>
          <cell r="I90" t="str">
            <v>Yes</v>
          </cell>
        </row>
        <row r="91">
          <cell r="A91" t="str">
            <v>CUST090</v>
          </cell>
          <cell r="I91" t="str">
            <v>No</v>
          </cell>
        </row>
        <row r="92">
          <cell r="A92" t="str">
            <v>CUST091</v>
          </cell>
          <cell r="I92" t="str">
            <v>No</v>
          </cell>
        </row>
        <row r="93">
          <cell r="A93" t="str">
            <v>CUST092</v>
          </cell>
          <cell r="I93" t="str">
            <v>No</v>
          </cell>
        </row>
        <row r="94">
          <cell r="A94" t="str">
            <v>CUST093</v>
          </cell>
          <cell r="I94" t="str">
            <v>No</v>
          </cell>
        </row>
        <row r="95">
          <cell r="A95" t="str">
            <v>CUST094</v>
          </cell>
          <cell r="I95" t="str">
            <v>No</v>
          </cell>
        </row>
        <row r="96">
          <cell r="A96" t="str">
            <v>CUST095</v>
          </cell>
          <cell r="I96" t="str">
            <v>No</v>
          </cell>
        </row>
        <row r="97">
          <cell r="A97" t="str">
            <v>CUST096</v>
          </cell>
          <cell r="I97" t="str">
            <v>No</v>
          </cell>
        </row>
        <row r="98">
          <cell r="A98" t="str">
            <v>CUST097</v>
          </cell>
          <cell r="I98" t="str">
            <v>Yes</v>
          </cell>
        </row>
        <row r="99">
          <cell r="A99" t="str">
            <v>CUST098</v>
          </cell>
          <cell r="I99" t="str">
            <v>Yes</v>
          </cell>
        </row>
        <row r="100">
          <cell r="A100" t="str">
            <v>CUST099</v>
          </cell>
          <cell r="I100" t="str">
            <v>Yes</v>
          </cell>
        </row>
      </sheetData>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lah S S" refreshedDate="46051.653282060186" createdVersion="8" refreshedVersion="8" minRefreshableVersion="3" recordCount="99" xr:uid="{9266AF9F-34CA-4127-BF00-21D943AB15DD}">
  <cacheSource type="worksheet">
    <worksheetSource name="Table1"/>
  </cacheSource>
  <cacheFields count="18">
    <cacheField name="Order ID" numFmtId="0">
      <sharedItems/>
    </cacheField>
    <cacheField name="Order Date" numFmtId="164">
      <sharedItems containsSemiMixedTypes="0" containsNonDate="0" containsDate="1" containsString="0" minDate="2019-01-20T00:00:00" maxDate="2024-06-10T00:00:00" count="95">
        <d v="2020-03-29T00:00:00"/>
        <d v="2023-02-25T00:00:00"/>
        <d v="2023-06-23T00:00:00"/>
        <d v="2019-10-01T00:00:00"/>
        <d v="2024-03-04T00:00:00"/>
        <d v="2023-04-16T00:00:00"/>
        <d v="2021-11-12T00:00:00"/>
        <d v="2022-03-23T00:00:00"/>
        <d v="2022-12-10T00:00:00"/>
        <d v="2019-07-21T00:00:00"/>
        <d v="2021-08-30T00:00:00"/>
        <d v="2022-10-31T00:00:00"/>
        <d v="2021-01-16T00:00:00"/>
        <d v="2021-05-10T00:00:00"/>
        <d v="2019-06-29T00:00:00"/>
        <d v="2019-05-16T00:00:00"/>
        <d v="2023-09-11T00:00:00"/>
        <d v="2019-09-27T00:00:00"/>
        <d v="2020-04-21T00:00:00"/>
        <d v="2019-09-23T00:00:00"/>
        <d v="2021-11-03T00:00:00"/>
        <d v="2019-03-30T00:00:00"/>
        <d v="2020-04-26T00:00:00"/>
        <d v="2021-07-23T00:00:00"/>
        <d v="2021-12-13T00:00:00"/>
        <d v="2021-08-29T00:00:00"/>
        <d v="2021-02-28T00:00:00"/>
        <d v="2022-09-16T00:00:00"/>
        <d v="2022-10-30T00:00:00"/>
        <d v="2023-03-12T00:00:00"/>
        <d v="2024-06-09T00:00:00"/>
        <d v="2024-01-18T00:00:00"/>
        <d v="2020-07-08T00:00:00"/>
        <d v="2022-02-27T00:00:00"/>
        <d v="2021-05-29T00:00:00"/>
        <d v="2019-12-04T00:00:00"/>
        <d v="2023-08-08T00:00:00"/>
        <d v="2020-01-24T00:00:00"/>
        <d v="2023-03-06T00:00:00"/>
        <d v="2019-11-30T00:00:00"/>
        <d v="2023-12-07T00:00:00"/>
        <d v="2022-02-22T00:00:00"/>
        <d v="2023-04-13T00:00:00"/>
        <d v="2020-11-13T00:00:00"/>
        <d v="2022-05-27T00:00:00"/>
        <d v="2022-05-12T00:00:00"/>
        <d v="2021-09-30T00:00:00"/>
        <d v="2021-08-28T00:00:00"/>
        <d v="2021-03-24T00:00:00"/>
        <d v="2020-08-11T00:00:00"/>
        <d v="2023-07-09T00:00:00"/>
        <d v="2024-02-09T00:00:00"/>
        <d v="2023-05-29T00:00:00"/>
        <d v="2022-01-04T00:00:00"/>
        <d v="2021-09-05T00:00:00"/>
        <d v="2020-04-18T00:00:00"/>
        <d v="2021-08-10T00:00:00"/>
        <d v="2022-01-25T00:00:00"/>
        <d v="2020-10-04T00:00:00"/>
        <d v="2019-12-09T00:00:00"/>
        <d v="2020-12-12T00:00:00"/>
        <d v="2023-11-01T00:00:00"/>
        <d v="2019-02-27T00:00:00"/>
        <d v="2021-11-13T00:00:00"/>
        <d v="2024-01-05T00:00:00"/>
        <d v="2023-07-03T00:00:00"/>
        <d v="2020-07-24T00:00:00"/>
        <d v="2023-05-17T00:00:00"/>
        <d v="2020-06-30T00:00:00"/>
        <d v="2020-10-08T00:00:00"/>
        <d v="2021-10-29T00:00:00"/>
        <d v="2023-07-31T00:00:00"/>
        <d v="2021-05-08T00:00:00"/>
        <d v="2024-03-17T00:00:00"/>
        <d v="2020-04-12T00:00:00"/>
        <d v="2024-02-04T00:00:00"/>
        <d v="2022-07-17T00:00:00"/>
        <d v="2019-04-20T00:00:00"/>
        <d v="2023-09-08T00:00:00"/>
        <d v="2019-01-20T00:00:00"/>
        <d v="2022-01-14T00:00:00"/>
        <d v="2020-07-14T00:00:00"/>
        <d v="2019-09-30T00:00:00"/>
        <d v="2021-01-22T00:00:00"/>
        <d v="2022-11-03T00:00:00"/>
        <d v="2020-05-31T00:00:00"/>
        <d v="2023-03-01T00:00:00"/>
        <d v="2022-08-07T00:00:00"/>
        <d v="2021-04-10T00:00:00"/>
        <d v="2019-04-30T00:00:00"/>
        <d v="2020-10-02T00:00:00"/>
        <d v="2021-01-21T00:00:00"/>
        <d v="2024-03-08T00:00:00"/>
        <d v="2021-05-30T00:00:00"/>
        <d v="2023-09-07T00:00:00"/>
      </sharedItems>
      <fieldGroup par="17"/>
    </cacheField>
    <cacheField name="Customer ID" numFmtId="0">
      <sharedItems count="99">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34">
        <s v="Divya Nair"/>
        <s v="Diego Torres"/>
        <s v="Manoj Tiwari"/>
        <s v="Sophia Miller"/>
        <s v="Aiko Suzuki"/>
        <s v="Pooja Mehta"/>
        <s v="Nisha Malhotra"/>
        <s v="Daniel Brown"/>
        <s v="Maria Fernandez"/>
        <s v="Rohit Verma"/>
        <s v="Kiran Das"/>
        <s v="Sneha Reddy"/>
        <s v="Isabella Thomas"/>
        <s v="Priya Iyer"/>
        <s v="Aditya Kulkarni"/>
        <s v="Liam Smith"/>
        <s v="Carlos Gomez"/>
        <s v="Emma Wilson"/>
        <s v="Sofia Ramirez"/>
        <s v="Meena Lakshmi"/>
        <s v="Neha Singh"/>
        <s v="Ananya Gupta"/>
        <s v="Kenji Tanaka"/>
        <s v="Karthik Kumar"/>
        <s v="Rahul Sharma"/>
        <s v="Hiroshi Yamamoto"/>
        <s v="Vikram Rao"/>
        <s v="Suresh Babu"/>
        <s v="Olivia Taylor"/>
        <s v="Arjun Patel"/>
        <s v="Noah Johnson"/>
        <s v="James Anderson"/>
        <s v="Shalini Chawla"/>
        <s v="Ava Martin"/>
      </sharedItems>
    </cacheField>
    <cacheField name="Email" numFmtId="0">
      <sharedItems/>
    </cacheField>
    <cacheField name="Country" numFmtId="0">
      <sharedItems count="6">
        <s v="Australia"/>
        <s v="USA"/>
        <s v="India"/>
        <s v="Germany"/>
        <s v="UK"/>
        <s v="Canada"/>
      </sharedItems>
    </cacheField>
    <cacheField name="Coffee Type" numFmtId="0">
      <sharedItems/>
    </cacheField>
    <cacheField name="Roast Type" numFmtId="0">
      <sharedItems/>
    </cacheField>
    <cacheField name="Size" numFmtId="0">
      <sharedItems containsSemiMixedTypes="0" containsString="0" containsNumber="1" minValue="0.2" maxValue="2.5" count="4">
        <n v="1"/>
        <n v="0.2"/>
        <n v="0.5"/>
        <n v="2.5"/>
      </sharedItems>
    </cacheField>
    <cacheField name="Unit Price" numFmtId="0">
      <sharedItems containsSemiMixedTypes="0" containsString="0" containsNumber="1" minValue="5.7619999999999996" maxValue="93.278999999999996"/>
    </cacheField>
    <cacheField name="Sales" numFmtId="0">
      <sharedItems containsSemiMixedTypes="0" containsString="0" containsNumber="1" minValue="5.7619999999999996" maxValue="559.67399999999998"/>
    </cacheField>
    <cacheField name="Coffe Type Name" numFmtId="0">
      <sharedItems count="4">
        <s v="Rob"/>
        <s v="Ara"/>
        <s v="Lib"/>
        <s v="Excel"/>
      </sharedItems>
    </cacheField>
    <cacheField name="Roast Type Name" numFmtId="0">
      <sharedItems count="3">
        <s v="Medium"/>
        <s v="Dark"/>
        <s v="Light"/>
      </sharedItems>
    </cacheField>
    <cacheField name="Loyalty card" numFmtId="0">
      <sharedItems count="2">
        <s v="Yes"/>
        <s v="No"/>
      </sharedItems>
    </cacheField>
    <cacheField name="Months (Order Date)" numFmtId="0" databaseField="0">
      <fieldGroup base="1">
        <rangePr groupBy="months" startDate="2019-01-20T00:00:00" endDate="2024-06-10T00:00:00"/>
        <groupItems count="14">
          <s v="&lt;20-01-2019"/>
          <s v="Jan"/>
          <s v="Feb"/>
          <s v="Mar"/>
          <s v="Apr"/>
          <s v="May"/>
          <s v="Jun"/>
          <s v="Jul"/>
          <s v="Aug"/>
          <s v="Sep"/>
          <s v="Oct"/>
          <s v="Nov"/>
          <s v="Dec"/>
          <s v="&gt;10-06-2024"/>
        </groupItems>
      </fieldGroup>
    </cacheField>
    <cacheField name="Years (Order Date)" numFmtId="0" databaseField="0">
      <fieldGroup base="1">
        <rangePr groupBy="years" startDate="2019-01-20T00:00:00" endDate="2024-06-10T00:00:00"/>
        <groupItems count="8">
          <s v="&lt;20-01-2019"/>
          <s v="2019"/>
          <s v="2020"/>
          <s v="2021"/>
          <s v="2022"/>
          <s v="2023"/>
          <s v="2024"/>
          <s v="&gt;10-06-2024"/>
        </groupItems>
      </fieldGroup>
    </cacheField>
  </cacheFields>
  <extLst>
    <ext xmlns:x14="http://schemas.microsoft.com/office/spreadsheetml/2009/9/main" uri="{725AE2AE-9491-48be-B2B4-4EB974FC3084}">
      <x14:pivotCacheDefinition pivotCacheId="4116419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s v="ORD-64402"/>
    <x v="0"/>
    <x v="0"/>
    <s v="P-15"/>
    <n v="1"/>
    <x v="0"/>
    <s v="customer@dummy.com"/>
    <x v="0"/>
    <s v="Robusta"/>
    <s v="M"/>
    <x v="0"/>
    <n v="29.852"/>
    <n v="29.852"/>
    <x v="0"/>
    <x v="0"/>
    <x v="0"/>
  </r>
  <r>
    <s v="ORD-85810"/>
    <x v="1"/>
    <x v="1"/>
    <s v="P-07"/>
    <n v="5"/>
    <x v="1"/>
    <s v="customer@dummy.com"/>
    <x v="1"/>
    <s v="Arabica"/>
    <s v="D"/>
    <x v="1"/>
    <n v="5.7619999999999996"/>
    <n v="28.81"/>
    <x v="1"/>
    <x v="1"/>
    <x v="0"/>
  </r>
  <r>
    <s v="ORD-42942"/>
    <x v="2"/>
    <x v="2"/>
    <s v="P-08"/>
    <n v="1"/>
    <x v="2"/>
    <s v="customer@dummy.com"/>
    <x v="2"/>
    <s v="Liberica"/>
    <s v="L"/>
    <x v="2"/>
    <n v="11.098000000000001"/>
    <n v="11.098000000000001"/>
    <x v="2"/>
    <x v="2"/>
    <x v="1"/>
  </r>
  <r>
    <s v="ORD-67072"/>
    <x v="3"/>
    <x v="3"/>
    <s v="P-10"/>
    <n v="4"/>
    <x v="3"/>
    <s v="customer@dummy.com"/>
    <x v="3"/>
    <s v="Excelsa"/>
    <s v="L"/>
    <x v="0"/>
    <n v="23.021000000000001"/>
    <n v="92.084000000000003"/>
    <x v="3"/>
    <x v="2"/>
    <x v="0"/>
  </r>
  <r>
    <s v="ORD-43196"/>
    <x v="4"/>
    <x v="4"/>
    <s v="P-10"/>
    <n v="5"/>
    <x v="4"/>
    <s v="customer@dummy.com"/>
    <x v="4"/>
    <s v="Excelsa"/>
    <s v="L"/>
    <x v="0"/>
    <n v="23.021000000000001"/>
    <n v="115.105"/>
    <x v="3"/>
    <x v="2"/>
    <x v="1"/>
  </r>
  <r>
    <s v="ORD-24532"/>
    <x v="5"/>
    <x v="5"/>
    <s v="P-08"/>
    <n v="3"/>
    <x v="5"/>
    <s v="customer@dummy.com"/>
    <x v="5"/>
    <s v="Liberica"/>
    <s v="L"/>
    <x v="2"/>
    <n v="11.098000000000001"/>
    <n v="33.294000000000004"/>
    <x v="2"/>
    <x v="2"/>
    <x v="1"/>
  </r>
  <r>
    <s v="ORD-27846"/>
    <x v="6"/>
    <x v="6"/>
    <s v="P-20"/>
    <n v="2"/>
    <x v="1"/>
    <s v="customer@dummy.com"/>
    <x v="3"/>
    <s v="Excelsa"/>
    <s v="L"/>
    <x v="2"/>
    <n v="19.291"/>
    <n v="38.582000000000001"/>
    <x v="3"/>
    <x v="2"/>
    <x v="1"/>
  </r>
  <r>
    <s v="ORD-79597"/>
    <x v="7"/>
    <x v="7"/>
    <s v="P-13"/>
    <n v="2"/>
    <x v="2"/>
    <s v="customer@dummy.com"/>
    <x v="1"/>
    <s v="Excelsa"/>
    <s v="L"/>
    <x v="3"/>
    <n v="77.019000000000005"/>
    <n v="154.03800000000001"/>
    <x v="3"/>
    <x v="2"/>
    <x v="0"/>
  </r>
  <r>
    <s v="ORD-14053"/>
    <x v="8"/>
    <x v="8"/>
    <s v="P-09"/>
    <n v="5"/>
    <x v="6"/>
    <s v="customer@dummy.com"/>
    <x v="5"/>
    <s v="Arabica"/>
    <s v="D"/>
    <x v="3"/>
    <n v="93.278999999999996"/>
    <n v="466.39499999999998"/>
    <x v="1"/>
    <x v="1"/>
    <x v="0"/>
  </r>
  <r>
    <s v="ORD-16111"/>
    <x v="9"/>
    <x v="9"/>
    <s v="P-14"/>
    <n v="2"/>
    <x v="7"/>
    <s v="customer@dummy.com"/>
    <x v="0"/>
    <s v="Arabica"/>
    <s v="M"/>
    <x v="0"/>
    <n v="30.213999999999999"/>
    <n v="60.427999999999997"/>
    <x v="1"/>
    <x v="0"/>
    <x v="0"/>
  </r>
  <r>
    <s v="ORD-76475"/>
    <x v="10"/>
    <x v="10"/>
    <s v="P-09"/>
    <n v="1"/>
    <x v="8"/>
    <s v="customer@dummy.com"/>
    <x v="1"/>
    <s v="Arabica"/>
    <s v="D"/>
    <x v="3"/>
    <n v="93.278999999999996"/>
    <n v="93.278999999999996"/>
    <x v="1"/>
    <x v="1"/>
    <x v="1"/>
  </r>
  <r>
    <s v="ORD-87143"/>
    <x v="11"/>
    <x v="11"/>
    <s v="P-02"/>
    <n v="6"/>
    <x v="4"/>
    <s v=""/>
    <x v="1"/>
    <s v="Robusta"/>
    <s v="M"/>
    <x v="0"/>
    <n v="38.543999999999997"/>
    <n v="231.26399999999998"/>
    <x v="0"/>
    <x v="0"/>
    <x v="1"/>
  </r>
  <r>
    <s v="ORD-63383"/>
    <x v="12"/>
    <x v="12"/>
    <s v="P-14"/>
    <n v="2"/>
    <x v="9"/>
    <s v="customer@dummy.com"/>
    <x v="2"/>
    <s v="Arabica"/>
    <s v="M"/>
    <x v="0"/>
    <n v="30.213999999999999"/>
    <n v="60.427999999999997"/>
    <x v="1"/>
    <x v="0"/>
    <x v="1"/>
  </r>
  <r>
    <s v="ORD-99338"/>
    <x v="13"/>
    <x v="13"/>
    <s v="P-05"/>
    <n v="3"/>
    <x v="10"/>
    <s v="customer@dummy.com"/>
    <x v="1"/>
    <s v="Robusta"/>
    <s v="D"/>
    <x v="3"/>
    <n v="80.451999999999998"/>
    <n v="241.35599999999999"/>
    <x v="0"/>
    <x v="1"/>
    <x v="0"/>
  </r>
  <r>
    <s v="ORD-24657"/>
    <x v="14"/>
    <x v="14"/>
    <s v="P-04"/>
    <n v="5"/>
    <x v="11"/>
    <s v="customer@dummy.com"/>
    <x v="0"/>
    <s v="Robusta"/>
    <s v="L"/>
    <x v="2"/>
    <n v="16.89"/>
    <n v="84.45"/>
    <x v="0"/>
    <x v="2"/>
    <x v="1"/>
  </r>
  <r>
    <s v="ORD-48620"/>
    <x v="15"/>
    <x v="15"/>
    <s v="P-01"/>
    <n v="5"/>
    <x v="12"/>
    <s v="customer@dummy.com"/>
    <x v="3"/>
    <s v="Arabica"/>
    <s v="L"/>
    <x v="3"/>
    <n v="61.25"/>
    <n v="306.25"/>
    <x v="1"/>
    <x v="2"/>
    <x v="1"/>
  </r>
  <r>
    <s v="ORD-88153"/>
    <x v="16"/>
    <x v="16"/>
    <s v="P-17"/>
    <n v="3"/>
    <x v="13"/>
    <s v=""/>
    <x v="4"/>
    <s v="Arabica"/>
    <s v="D"/>
    <x v="3"/>
    <n v="80.778000000000006"/>
    <n v="242.334"/>
    <x v="1"/>
    <x v="1"/>
    <x v="0"/>
  </r>
  <r>
    <s v="ORD-29318"/>
    <x v="17"/>
    <x v="17"/>
    <s v="P-03"/>
    <n v="3"/>
    <x v="14"/>
    <s v="customer@dummy.com"/>
    <x v="5"/>
    <s v="Excelsa"/>
    <s v="M"/>
    <x v="3"/>
    <n v="88.546999999999997"/>
    <n v="265.64099999999996"/>
    <x v="3"/>
    <x v="0"/>
    <x v="0"/>
  </r>
  <r>
    <s v="ORD-90465"/>
    <x v="18"/>
    <x v="18"/>
    <s v="P-19"/>
    <n v="2"/>
    <x v="3"/>
    <s v="customer@dummy.com"/>
    <x v="0"/>
    <s v="Excelsa"/>
    <s v="L"/>
    <x v="1"/>
    <n v="6.1980000000000004"/>
    <n v="12.396000000000001"/>
    <x v="3"/>
    <x v="2"/>
    <x v="1"/>
  </r>
  <r>
    <s v="ORD-58442"/>
    <x v="19"/>
    <x v="19"/>
    <s v="P-12"/>
    <n v="2"/>
    <x v="14"/>
    <s v="customer@dummy.com"/>
    <x v="1"/>
    <s v="Excelsa"/>
    <s v="D"/>
    <x v="2"/>
    <n v="18.209"/>
    <n v="36.417999999999999"/>
    <x v="3"/>
    <x v="1"/>
    <x v="0"/>
  </r>
  <r>
    <s v="ORD-83922"/>
    <x v="20"/>
    <x v="20"/>
    <s v="P-10"/>
    <n v="6"/>
    <x v="15"/>
    <s v="customer@dummy.com"/>
    <x v="4"/>
    <s v="Excelsa"/>
    <s v="L"/>
    <x v="0"/>
    <n v="23.021000000000001"/>
    <n v="138.126"/>
    <x v="3"/>
    <x v="2"/>
    <x v="1"/>
  </r>
  <r>
    <s v="ORD-44545"/>
    <x v="21"/>
    <x v="21"/>
    <s v="P-10"/>
    <n v="1"/>
    <x v="16"/>
    <s v="customer@dummy.com"/>
    <x v="0"/>
    <s v="Excelsa"/>
    <s v="L"/>
    <x v="0"/>
    <n v="23.021000000000001"/>
    <n v="23.021000000000001"/>
    <x v="3"/>
    <x v="2"/>
    <x v="1"/>
  </r>
  <r>
    <s v="ORD-16756"/>
    <x v="22"/>
    <x v="22"/>
    <s v="P-10"/>
    <n v="1"/>
    <x v="17"/>
    <s v="customer@dummy.com"/>
    <x v="0"/>
    <s v="Excelsa"/>
    <s v="L"/>
    <x v="0"/>
    <n v="23.021000000000001"/>
    <n v="23.021000000000001"/>
    <x v="3"/>
    <x v="2"/>
    <x v="0"/>
  </r>
  <r>
    <s v="ORD-92636"/>
    <x v="23"/>
    <x v="23"/>
    <s v="P-09"/>
    <n v="6"/>
    <x v="18"/>
    <s v="customer@dummy.com"/>
    <x v="2"/>
    <s v="Arabica"/>
    <s v="D"/>
    <x v="3"/>
    <n v="93.278999999999996"/>
    <n v="559.67399999999998"/>
    <x v="1"/>
    <x v="1"/>
    <x v="1"/>
  </r>
  <r>
    <s v="ORD-29081"/>
    <x v="24"/>
    <x v="24"/>
    <s v="P-11"/>
    <n v="4"/>
    <x v="19"/>
    <s v="customer@dummy.com"/>
    <x v="2"/>
    <s v="Robusta"/>
    <s v="M"/>
    <x v="0"/>
    <n v="38.335000000000001"/>
    <n v="153.34"/>
    <x v="0"/>
    <x v="0"/>
    <x v="0"/>
  </r>
  <r>
    <s v="ORD-87176"/>
    <x v="25"/>
    <x v="25"/>
    <s v="P-20"/>
    <n v="2"/>
    <x v="0"/>
    <s v="customer@dummy.com"/>
    <x v="3"/>
    <s v="Excelsa"/>
    <s v="L"/>
    <x v="2"/>
    <n v="19.291"/>
    <n v="38.582000000000001"/>
    <x v="3"/>
    <x v="2"/>
    <x v="1"/>
  </r>
  <r>
    <s v="ORD-98105"/>
    <x v="26"/>
    <x v="26"/>
    <s v="P-09"/>
    <n v="4"/>
    <x v="6"/>
    <s v="customer@dummy.com"/>
    <x v="1"/>
    <s v="Arabica"/>
    <s v="D"/>
    <x v="3"/>
    <n v="93.278999999999996"/>
    <n v="373.11599999999999"/>
    <x v="1"/>
    <x v="1"/>
    <x v="0"/>
  </r>
  <r>
    <s v="ORD-30663"/>
    <x v="27"/>
    <x v="27"/>
    <s v="P-09"/>
    <n v="5"/>
    <x v="20"/>
    <s v="customer@dummy.com"/>
    <x v="5"/>
    <s v="Arabica"/>
    <s v="D"/>
    <x v="3"/>
    <n v="93.278999999999996"/>
    <n v="466.39499999999998"/>
    <x v="1"/>
    <x v="1"/>
    <x v="1"/>
  </r>
  <r>
    <s v="ORD-72114"/>
    <x v="28"/>
    <x v="28"/>
    <s v="P-01"/>
    <n v="2"/>
    <x v="12"/>
    <s v="customer@dummy.com"/>
    <x v="4"/>
    <s v="Arabica"/>
    <s v="L"/>
    <x v="3"/>
    <n v="61.25"/>
    <n v="122.5"/>
    <x v="1"/>
    <x v="2"/>
    <x v="0"/>
  </r>
  <r>
    <s v="ORD-47403"/>
    <x v="29"/>
    <x v="29"/>
    <s v="P-15"/>
    <n v="6"/>
    <x v="7"/>
    <s v="customer@dummy.com"/>
    <x v="4"/>
    <s v="Robusta"/>
    <s v="M"/>
    <x v="0"/>
    <n v="29.852"/>
    <n v="179.11199999999999"/>
    <x v="0"/>
    <x v="0"/>
    <x v="0"/>
  </r>
  <r>
    <s v="ORD-93267"/>
    <x v="30"/>
    <x v="30"/>
    <s v="P-11"/>
    <n v="6"/>
    <x v="0"/>
    <s v=""/>
    <x v="1"/>
    <s v="Robusta"/>
    <s v="M"/>
    <x v="0"/>
    <n v="38.335000000000001"/>
    <n v="230.01"/>
    <x v="0"/>
    <x v="0"/>
    <x v="0"/>
  </r>
  <r>
    <s v="ORD-47211"/>
    <x v="31"/>
    <x v="31"/>
    <s v="P-07"/>
    <n v="1"/>
    <x v="20"/>
    <s v="customer@dummy.com"/>
    <x v="2"/>
    <s v="Arabica"/>
    <s v="D"/>
    <x v="1"/>
    <n v="5.7619999999999996"/>
    <n v="5.7619999999999996"/>
    <x v="1"/>
    <x v="1"/>
    <x v="0"/>
  </r>
  <r>
    <s v="ORD-21499"/>
    <x v="32"/>
    <x v="32"/>
    <s v="P-15"/>
    <n v="6"/>
    <x v="21"/>
    <s v="customer@dummy.com"/>
    <x v="3"/>
    <s v="Robusta"/>
    <s v="M"/>
    <x v="0"/>
    <n v="29.852"/>
    <n v="179.11199999999999"/>
    <x v="0"/>
    <x v="0"/>
    <x v="1"/>
  </r>
  <r>
    <s v="ORD-17595"/>
    <x v="33"/>
    <x v="33"/>
    <s v="P-02"/>
    <n v="2"/>
    <x v="7"/>
    <s v="customer@dummy.com"/>
    <x v="5"/>
    <s v="Robusta"/>
    <s v="M"/>
    <x v="0"/>
    <n v="38.543999999999997"/>
    <n v="77.087999999999994"/>
    <x v="0"/>
    <x v="0"/>
    <x v="0"/>
  </r>
  <r>
    <s v="ORD-36330"/>
    <x v="34"/>
    <x v="34"/>
    <s v="P-14"/>
    <n v="5"/>
    <x v="22"/>
    <s v="customer@dummy.com"/>
    <x v="1"/>
    <s v="Arabica"/>
    <s v="M"/>
    <x v="0"/>
    <n v="30.213999999999999"/>
    <n v="151.07"/>
    <x v="1"/>
    <x v="0"/>
    <x v="1"/>
  </r>
  <r>
    <s v="ORD-57522"/>
    <x v="35"/>
    <x v="35"/>
    <s v="P-12"/>
    <n v="3"/>
    <x v="22"/>
    <s v="customer@dummy.com"/>
    <x v="5"/>
    <s v="Excelsa"/>
    <s v="D"/>
    <x v="2"/>
    <n v="18.209"/>
    <n v="54.626999999999995"/>
    <x v="3"/>
    <x v="1"/>
    <x v="0"/>
  </r>
  <r>
    <s v="ORD-85857"/>
    <x v="36"/>
    <x v="36"/>
    <s v="P-14"/>
    <n v="2"/>
    <x v="2"/>
    <s v="customer@dummy.com"/>
    <x v="0"/>
    <s v="Arabica"/>
    <s v="M"/>
    <x v="0"/>
    <n v="30.213999999999999"/>
    <n v="60.427999999999997"/>
    <x v="1"/>
    <x v="0"/>
    <x v="1"/>
  </r>
  <r>
    <s v="ORD-52725"/>
    <x v="37"/>
    <x v="37"/>
    <s v="P-02"/>
    <n v="5"/>
    <x v="23"/>
    <s v="customer@dummy.com"/>
    <x v="3"/>
    <s v="Robusta"/>
    <s v="M"/>
    <x v="0"/>
    <n v="38.543999999999997"/>
    <n v="192.71999999999997"/>
    <x v="0"/>
    <x v="0"/>
    <x v="0"/>
  </r>
  <r>
    <s v="ORD-91308"/>
    <x v="38"/>
    <x v="38"/>
    <s v="P-10"/>
    <n v="1"/>
    <x v="18"/>
    <s v="customer@dummy.com"/>
    <x v="5"/>
    <s v="Excelsa"/>
    <s v="L"/>
    <x v="0"/>
    <n v="23.021000000000001"/>
    <n v="23.021000000000001"/>
    <x v="3"/>
    <x v="2"/>
    <x v="0"/>
  </r>
  <r>
    <s v="ORD-57876"/>
    <x v="39"/>
    <x v="39"/>
    <s v="P-14"/>
    <n v="4"/>
    <x v="18"/>
    <s v="customer@dummy.com"/>
    <x v="2"/>
    <s v="Arabica"/>
    <s v="M"/>
    <x v="0"/>
    <n v="30.213999999999999"/>
    <n v="120.85599999999999"/>
    <x v="1"/>
    <x v="0"/>
    <x v="0"/>
  </r>
  <r>
    <s v="ORD-54281"/>
    <x v="40"/>
    <x v="40"/>
    <s v="P-10"/>
    <n v="5"/>
    <x v="17"/>
    <s v="customer@dummy.com"/>
    <x v="5"/>
    <s v="Excelsa"/>
    <s v="L"/>
    <x v="0"/>
    <n v="23.021000000000001"/>
    <n v="115.105"/>
    <x v="3"/>
    <x v="2"/>
    <x v="1"/>
  </r>
  <r>
    <s v="ORD-16859"/>
    <x v="41"/>
    <x v="41"/>
    <s v="P-18"/>
    <n v="6"/>
    <x v="16"/>
    <s v=""/>
    <x v="2"/>
    <s v="Excelsa"/>
    <s v="M"/>
    <x v="2"/>
    <n v="16.710999999999999"/>
    <n v="100.26599999999999"/>
    <x v="3"/>
    <x v="0"/>
    <x v="0"/>
  </r>
  <r>
    <s v="ORD-23510"/>
    <x v="42"/>
    <x v="42"/>
    <s v="P-06"/>
    <n v="5"/>
    <x v="7"/>
    <s v="customer@dummy.com"/>
    <x v="3"/>
    <s v="Liberica"/>
    <s v="D"/>
    <x v="0"/>
    <n v="38.804000000000002"/>
    <n v="194.02"/>
    <x v="2"/>
    <x v="1"/>
    <x v="0"/>
  </r>
  <r>
    <s v="ORD-82707"/>
    <x v="43"/>
    <x v="43"/>
    <s v="P-08"/>
    <n v="4"/>
    <x v="7"/>
    <s v="customer@dummy.com"/>
    <x v="3"/>
    <s v="Liberica"/>
    <s v="L"/>
    <x v="2"/>
    <n v="11.098000000000001"/>
    <n v="44.392000000000003"/>
    <x v="2"/>
    <x v="2"/>
    <x v="1"/>
  </r>
  <r>
    <s v="ORD-12086"/>
    <x v="44"/>
    <x v="44"/>
    <s v="P-08"/>
    <n v="3"/>
    <x v="24"/>
    <s v="customer@dummy.com"/>
    <x v="3"/>
    <s v="Liberica"/>
    <s v="L"/>
    <x v="2"/>
    <n v="11.098000000000001"/>
    <n v="33.294000000000004"/>
    <x v="2"/>
    <x v="2"/>
    <x v="0"/>
  </r>
  <r>
    <s v="ORD-11890"/>
    <x v="45"/>
    <x v="45"/>
    <s v="P-09"/>
    <n v="1"/>
    <x v="7"/>
    <s v="customer@dummy.com"/>
    <x v="0"/>
    <s v="Arabica"/>
    <s v="D"/>
    <x v="3"/>
    <n v="93.278999999999996"/>
    <n v="93.278999999999996"/>
    <x v="1"/>
    <x v="1"/>
    <x v="1"/>
  </r>
  <r>
    <s v="ORD-25499"/>
    <x v="46"/>
    <x v="46"/>
    <s v="P-17"/>
    <n v="2"/>
    <x v="21"/>
    <s v="customer@dummy.com"/>
    <x v="2"/>
    <s v="Arabica"/>
    <s v="D"/>
    <x v="3"/>
    <n v="80.778000000000006"/>
    <n v="161.55600000000001"/>
    <x v="1"/>
    <x v="1"/>
    <x v="0"/>
  </r>
  <r>
    <s v="ORD-24570"/>
    <x v="47"/>
    <x v="47"/>
    <s v="P-16"/>
    <n v="3"/>
    <x v="25"/>
    <s v="customer@dummy.com"/>
    <x v="5"/>
    <s v="Excelsa"/>
    <s v="D"/>
    <x v="1"/>
    <n v="6.774"/>
    <n v="20.321999999999999"/>
    <x v="3"/>
    <x v="1"/>
    <x v="1"/>
  </r>
  <r>
    <s v="ORD-75840"/>
    <x v="48"/>
    <x v="48"/>
    <s v="P-04"/>
    <n v="1"/>
    <x v="0"/>
    <s v=""/>
    <x v="3"/>
    <s v="Robusta"/>
    <s v="L"/>
    <x v="2"/>
    <n v="16.89"/>
    <n v="16.89"/>
    <x v="0"/>
    <x v="2"/>
    <x v="1"/>
  </r>
  <r>
    <s v="ORD-34484"/>
    <x v="49"/>
    <x v="49"/>
    <s v="P-04"/>
    <n v="6"/>
    <x v="10"/>
    <s v="customer@dummy.com"/>
    <x v="3"/>
    <s v="Robusta"/>
    <s v="L"/>
    <x v="2"/>
    <n v="16.89"/>
    <n v="101.34"/>
    <x v="0"/>
    <x v="2"/>
    <x v="0"/>
  </r>
  <r>
    <s v="ORD-68298"/>
    <x v="50"/>
    <x v="50"/>
    <s v="P-19"/>
    <n v="3"/>
    <x v="26"/>
    <s v="customer@dummy.com"/>
    <x v="5"/>
    <s v="Excelsa"/>
    <s v="L"/>
    <x v="1"/>
    <n v="6.1980000000000004"/>
    <n v="18.594000000000001"/>
    <x v="3"/>
    <x v="2"/>
    <x v="1"/>
  </r>
  <r>
    <s v="ORD-80800"/>
    <x v="51"/>
    <x v="51"/>
    <s v="P-02"/>
    <n v="3"/>
    <x v="15"/>
    <s v="customer@dummy.com"/>
    <x v="4"/>
    <s v="Robusta"/>
    <s v="M"/>
    <x v="0"/>
    <n v="38.543999999999997"/>
    <n v="115.63199999999999"/>
    <x v="0"/>
    <x v="0"/>
    <x v="1"/>
  </r>
  <r>
    <s v="ORD-24015"/>
    <x v="52"/>
    <x v="52"/>
    <s v="P-08"/>
    <n v="6"/>
    <x v="15"/>
    <s v="customer@dummy.com"/>
    <x v="5"/>
    <s v="Liberica"/>
    <s v="L"/>
    <x v="2"/>
    <n v="11.098000000000001"/>
    <n v="66.588000000000008"/>
    <x v="2"/>
    <x v="2"/>
    <x v="0"/>
  </r>
  <r>
    <s v="ORD-53304"/>
    <x v="53"/>
    <x v="53"/>
    <s v="P-01"/>
    <n v="5"/>
    <x v="3"/>
    <s v="customer@dummy.com"/>
    <x v="4"/>
    <s v="Arabica"/>
    <s v="L"/>
    <x v="3"/>
    <n v="61.25"/>
    <n v="306.25"/>
    <x v="1"/>
    <x v="2"/>
    <x v="1"/>
  </r>
  <r>
    <s v="ORD-12596"/>
    <x v="54"/>
    <x v="54"/>
    <s v="P-17"/>
    <n v="2"/>
    <x v="10"/>
    <s v="customer@dummy.com"/>
    <x v="3"/>
    <s v="Arabica"/>
    <s v="D"/>
    <x v="3"/>
    <n v="80.778000000000006"/>
    <n v="161.55600000000001"/>
    <x v="1"/>
    <x v="1"/>
    <x v="1"/>
  </r>
  <r>
    <s v="ORD-98180"/>
    <x v="55"/>
    <x v="55"/>
    <s v="P-14"/>
    <n v="5"/>
    <x v="27"/>
    <s v="customer@dummy.com"/>
    <x v="4"/>
    <s v="Arabica"/>
    <s v="M"/>
    <x v="0"/>
    <n v="30.213999999999999"/>
    <n v="151.07"/>
    <x v="1"/>
    <x v="0"/>
    <x v="0"/>
  </r>
  <r>
    <s v="ORD-44892"/>
    <x v="37"/>
    <x v="56"/>
    <s v="P-02"/>
    <n v="5"/>
    <x v="15"/>
    <s v="customer@dummy.com"/>
    <x v="0"/>
    <s v="Robusta"/>
    <s v="M"/>
    <x v="0"/>
    <n v="38.543999999999997"/>
    <n v="192.71999999999997"/>
    <x v="0"/>
    <x v="0"/>
    <x v="0"/>
  </r>
  <r>
    <s v="ORD-25539"/>
    <x v="56"/>
    <x v="57"/>
    <s v="P-05"/>
    <n v="6"/>
    <x v="7"/>
    <s v="customer@dummy.com"/>
    <x v="4"/>
    <s v="Robusta"/>
    <s v="D"/>
    <x v="3"/>
    <n v="80.451999999999998"/>
    <n v="482.71199999999999"/>
    <x v="0"/>
    <x v="1"/>
    <x v="1"/>
  </r>
  <r>
    <s v="ORD-37390"/>
    <x v="57"/>
    <x v="58"/>
    <s v="P-03"/>
    <n v="6"/>
    <x v="28"/>
    <s v="customer@dummy.com"/>
    <x v="2"/>
    <s v="Excelsa"/>
    <s v="M"/>
    <x v="3"/>
    <n v="88.546999999999997"/>
    <n v="531.28199999999993"/>
    <x v="3"/>
    <x v="0"/>
    <x v="1"/>
  </r>
  <r>
    <s v="ORD-19687"/>
    <x v="58"/>
    <x v="59"/>
    <s v="P-15"/>
    <n v="4"/>
    <x v="21"/>
    <s v="customer@dummy.com"/>
    <x v="4"/>
    <s v="Robusta"/>
    <s v="M"/>
    <x v="0"/>
    <n v="29.852"/>
    <n v="119.408"/>
    <x v="0"/>
    <x v="0"/>
    <x v="1"/>
  </r>
  <r>
    <s v="ORD-95845"/>
    <x v="59"/>
    <x v="60"/>
    <s v="P-15"/>
    <n v="1"/>
    <x v="29"/>
    <s v="customer@dummy.com"/>
    <x v="0"/>
    <s v="Robusta"/>
    <s v="M"/>
    <x v="0"/>
    <n v="29.852"/>
    <n v="29.852"/>
    <x v="0"/>
    <x v="0"/>
    <x v="0"/>
  </r>
  <r>
    <s v="ORD-25567"/>
    <x v="60"/>
    <x v="61"/>
    <s v="P-20"/>
    <n v="3"/>
    <x v="13"/>
    <s v="customer@dummy.com"/>
    <x v="4"/>
    <s v="Excelsa"/>
    <s v="L"/>
    <x v="2"/>
    <n v="19.291"/>
    <n v="57.873000000000005"/>
    <x v="3"/>
    <x v="2"/>
    <x v="0"/>
  </r>
  <r>
    <s v="ORD-67428"/>
    <x v="61"/>
    <x v="62"/>
    <s v="P-17"/>
    <n v="1"/>
    <x v="30"/>
    <s v="customer@dummy.com"/>
    <x v="4"/>
    <s v="Arabica"/>
    <s v="D"/>
    <x v="3"/>
    <n v="80.778000000000006"/>
    <n v="80.778000000000006"/>
    <x v="1"/>
    <x v="1"/>
    <x v="0"/>
  </r>
  <r>
    <s v="ORD-91307"/>
    <x v="62"/>
    <x v="63"/>
    <s v="P-19"/>
    <n v="3"/>
    <x v="8"/>
    <s v="customer@dummy.com"/>
    <x v="1"/>
    <s v="Excelsa"/>
    <s v="L"/>
    <x v="1"/>
    <n v="6.1980000000000004"/>
    <n v="18.594000000000001"/>
    <x v="3"/>
    <x v="2"/>
    <x v="0"/>
  </r>
  <r>
    <s v="ORD-27877"/>
    <x v="63"/>
    <x v="64"/>
    <s v="P-06"/>
    <n v="6"/>
    <x v="28"/>
    <s v="customer@dummy.com"/>
    <x v="1"/>
    <s v="Liberica"/>
    <s v="D"/>
    <x v="0"/>
    <n v="38.804000000000002"/>
    <n v="232.82400000000001"/>
    <x v="2"/>
    <x v="1"/>
    <x v="1"/>
  </r>
  <r>
    <s v="ORD-63472"/>
    <x v="64"/>
    <x v="65"/>
    <s v="P-09"/>
    <n v="3"/>
    <x v="31"/>
    <s v="customer@dummy.com"/>
    <x v="2"/>
    <s v="Arabica"/>
    <s v="D"/>
    <x v="3"/>
    <n v="93.278999999999996"/>
    <n v="279.83699999999999"/>
    <x v="1"/>
    <x v="1"/>
    <x v="1"/>
  </r>
  <r>
    <s v="ORD-35476"/>
    <x v="65"/>
    <x v="66"/>
    <s v="P-01"/>
    <n v="4"/>
    <x v="32"/>
    <s v="customer@dummy.com"/>
    <x v="2"/>
    <s v="Arabica"/>
    <s v="L"/>
    <x v="3"/>
    <n v="61.25"/>
    <n v="245"/>
    <x v="1"/>
    <x v="2"/>
    <x v="1"/>
  </r>
  <r>
    <s v="ORD-58638"/>
    <x v="66"/>
    <x v="67"/>
    <s v="P-13"/>
    <n v="4"/>
    <x v="14"/>
    <s v="customer@dummy.com"/>
    <x v="0"/>
    <s v="Excelsa"/>
    <s v="L"/>
    <x v="3"/>
    <n v="77.019000000000005"/>
    <n v="308.07600000000002"/>
    <x v="3"/>
    <x v="2"/>
    <x v="0"/>
  </r>
  <r>
    <s v="ORD-32035"/>
    <x v="67"/>
    <x v="68"/>
    <s v="P-09"/>
    <n v="3"/>
    <x v="28"/>
    <s v="customer@dummy.com"/>
    <x v="5"/>
    <s v="Arabica"/>
    <s v="D"/>
    <x v="3"/>
    <n v="93.278999999999996"/>
    <n v="279.83699999999999"/>
    <x v="1"/>
    <x v="1"/>
    <x v="0"/>
  </r>
  <r>
    <s v="ORD-33940"/>
    <x v="68"/>
    <x v="69"/>
    <s v="P-14"/>
    <n v="2"/>
    <x v="24"/>
    <s v="customer@dummy.com"/>
    <x v="3"/>
    <s v="Arabica"/>
    <s v="M"/>
    <x v="0"/>
    <n v="30.213999999999999"/>
    <n v="60.427999999999997"/>
    <x v="1"/>
    <x v="0"/>
    <x v="1"/>
  </r>
  <r>
    <s v="ORD-46425"/>
    <x v="69"/>
    <x v="70"/>
    <s v="P-14"/>
    <n v="4"/>
    <x v="23"/>
    <s v="customer@dummy.com"/>
    <x v="2"/>
    <s v="Arabica"/>
    <s v="M"/>
    <x v="0"/>
    <n v="30.213999999999999"/>
    <n v="120.85599999999999"/>
    <x v="1"/>
    <x v="0"/>
    <x v="1"/>
  </r>
  <r>
    <s v="ORD-21096"/>
    <x v="70"/>
    <x v="71"/>
    <s v="P-15"/>
    <n v="1"/>
    <x v="10"/>
    <s v=""/>
    <x v="0"/>
    <s v="Robusta"/>
    <s v="M"/>
    <x v="0"/>
    <n v="29.852"/>
    <n v="29.852"/>
    <x v="0"/>
    <x v="0"/>
    <x v="0"/>
  </r>
  <r>
    <s v="ORD-72634"/>
    <x v="71"/>
    <x v="72"/>
    <s v="P-06"/>
    <n v="6"/>
    <x v="24"/>
    <s v="customer@dummy.com"/>
    <x v="2"/>
    <s v="Liberica"/>
    <s v="D"/>
    <x v="0"/>
    <n v="38.804000000000002"/>
    <n v="232.82400000000001"/>
    <x v="2"/>
    <x v="1"/>
    <x v="1"/>
  </r>
  <r>
    <s v="ORD-73006"/>
    <x v="72"/>
    <x v="73"/>
    <s v="P-16"/>
    <n v="2"/>
    <x v="30"/>
    <s v="customer@dummy.com"/>
    <x v="0"/>
    <s v="Excelsa"/>
    <s v="D"/>
    <x v="1"/>
    <n v="6.774"/>
    <n v="13.548"/>
    <x v="3"/>
    <x v="1"/>
    <x v="1"/>
  </r>
  <r>
    <s v="ORD-70264"/>
    <x v="73"/>
    <x v="74"/>
    <s v="P-02"/>
    <n v="3"/>
    <x v="31"/>
    <s v="customer@dummy.com"/>
    <x v="0"/>
    <s v="Robusta"/>
    <s v="M"/>
    <x v="0"/>
    <n v="38.543999999999997"/>
    <n v="115.63199999999999"/>
    <x v="0"/>
    <x v="0"/>
    <x v="1"/>
  </r>
  <r>
    <s v="ORD-62397"/>
    <x v="74"/>
    <x v="75"/>
    <s v="P-15"/>
    <n v="3"/>
    <x v="2"/>
    <s v="customer@dummy.com"/>
    <x v="2"/>
    <s v="Robusta"/>
    <s v="M"/>
    <x v="0"/>
    <n v="29.852"/>
    <n v="89.555999999999997"/>
    <x v="0"/>
    <x v="0"/>
    <x v="0"/>
  </r>
  <r>
    <s v="ORD-34720"/>
    <x v="75"/>
    <x v="76"/>
    <s v="P-10"/>
    <n v="2"/>
    <x v="5"/>
    <s v="customer@dummy.com"/>
    <x v="2"/>
    <s v="Excelsa"/>
    <s v="L"/>
    <x v="0"/>
    <n v="23.021000000000001"/>
    <n v="46.042000000000002"/>
    <x v="3"/>
    <x v="2"/>
    <x v="1"/>
  </r>
  <r>
    <s v="ORD-31547"/>
    <x v="76"/>
    <x v="77"/>
    <s v="P-16"/>
    <n v="2"/>
    <x v="16"/>
    <s v="customer@dummy.com"/>
    <x v="4"/>
    <s v="Excelsa"/>
    <s v="D"/>
    <x v="1"/>
    <n v="6.774"/>
    <n v="13.548"/>
    <x v="3"/>
    <x v="1"/>
    <x v="1"/>
  </r>
  <r>
    <s v="ORD-16476"/>
    <x v="77"/>
    <x v="78"/>
    <s v="P-04"/>
    <n v="6"/>
    <x v="22"/>
    <s v="customer@dummy.com"/>
    <x v="1"/>
    <s v="Robusta"/>
    <s v="L"/>
    <x v="2"/>
    <n v="16.89"/>
    <n v="101.34"/>
    <x v="0"/>
    <x v="2"/>
    <x v="1"/>
  </r>
  <r>
    <s v="ORD-95137"/>
    <x v="78"/>
    <x v="79"/>
    <s v="P-17"/>
    <n v="2"/>
    <x v="23"/>
    <s v="customer@dummy.com"/>
    <x v="2"/>
    <s v="Arabica"/>
    <s v="D"/>
    <x v="3"/>
    <n v="80.778000000000006"/>
    <n v="161.55600000000001"/>
    <x v="1"/>
    <x v="1"/>
    <x v="0"/>
  </r>
  <r>
    <s v="ORD-94932"/>
    <x v="79"/>
    <x v="80"/>
    <s v="P-03"/>
    <n v="3"/>
    <x v="22"/>
    <s v="customer@dummy.com"/>
    <x v="5"/>
    <s v="Excelsa"/>
    <s v="M"/>
    <x v="3"/>
    <n v="88.546999999999997"/>
    <n v="265.64099999999996"/>
    <x v="3"/>
    <x v="0"/>
    <x v="0"/>
  </r>
  <r>
    <s v="ORD-87418"/>
    <x v="80"/>
    <x v="81"/>
    <s v="P-01"/>
    <n v="2"/>
    <x v="17"/>
    <s v=""/>
    <x v="2"/>
    <s v="Arabica"/>
    <s v="L"/>
    <x v="3"/>
    <n v="61.25"/>
    <n v="122.5"/>
    <x v="1"/>
    <x v="2"/>
    <x v="1"/>
  </r>
  <r>
    <s v="ORD-41418"/>
    <x v="81"/>
    <x v="82"/>
    <s v="P-13"/>
    <n v="3"/>
    <x v="31"/>
    <s v="customer@dummy.com"/>
    <x v="0"/>
    <s v="Excelsa"/>
    <s v="L"/>
    <x v="3"/>
    <n v="77.019000000000005"/>
    <n v="231.05700000000002"/>
    <x v="3"/>
    <x v="2"/>
    <x v="1"/>
  </r>
  <r>
    <s v="ORD-16086"/>
    <x v="15"/>
    <x v="83"/>
    <s v="P-07"/>
    <n v="5"/>
    <x v="33"/>
    <s v="customer@dummy.com"/>
    <x v="4"/>
    <s v="Arabica"/>
    <s v="D"/>
    <x v="1"/>
    <n v="5.7619999999999996"/>
    <n v="28.81"/>
    <x v="1"/>
    <x v="1"/>
    <x v="0"/>
  </r>
  <r>
    <s v="ORD-45859"/>
    <x v="11"/>
    <x v="84"/>
    <s v="P-06"/>
    <n v="6"/>
    <x v="24"/>
    <s v="customer@dummy.com"/>
    <x v="3"/>
    <s v="Liberica"/>
    <s v="D"/>
    <x v="0"/>
    <n v="38.804000000000002"/>
    <n v="232.82400000000001"/>
    <x v="2"/>
    <x v="1"/>
    <x v="1"/>
  </r>
  <r>
    <s v="ORD-17908"/>
    <x v="82"/>
    <x v="85"/>
    <s v="P-03"/>
    <n v="1"/>
    <x v="18"/>
    <s v="customer@dummy.com"/>
    <x v="3"/>
    <s v="Excelsa"/>
    <s v="M"/>
    <x v="3"/>
    <n v="88.546999999999997"/>
    <n v="88.546999999999997"/>
    <x v="3"/>
    <x v="0"/>
    <x v="1"/>
  </r>
  <r>
    <s v="ORD-57953"/>
    <x v="83"/>
    <x v="86"/>
    <s v="P-05"/>
    <n v="4"/>
    <x v="15"/>
    <s v="customer@dummy.com"/>
    <x v="4"/>
    <s v="Robusta"/>
    <s v="D"/>
    <x v="3"/>
    <n v="80.451999999999998"/>
    <n v="321.80799999999999"/>
    <x v="0"/>
    <x v="1"/>
    <x v="1"/>
  </r>
  <r>
    <s v="ORD-19141"/>
    <x v="84"/>
    <x v="87"/>
    <s v="P-16"/>
    <n v="6"/>
    <x v="20"/>
    <s v="customer@dummy.com"/>
    <x v="2"/>
    <s v="Excelsa"/>
    <s v="D"/>
    <x v="1"/>
    <n v="6.774"/>
    <n v="40.643999999999998"/>
    <x v="3"/>
    <x v="1"/>
    <x v="1"/>
  </r>
  <r>
    <s v="ORD-92055"/>
    <x v="85"/>
    <x v="88"/>
    <s v="P-13"/>
    <n v="2"/>
    <x v="0"/>
    <s v="customer@dummy.com"/>
    <x v="3"/>
    <s v="Excelsa"/>
    <s v="L"/>
    <x v="3"/>
    <n v="77.019000000000005"/>
    <n v="154.03800000000001"/>
    <x v="3"/>
    <x v="2"/>
    <x v="0"/>
  </r>
  <r>
    <s v="ORD-60823"/>
    <x v="86"/>
    <x v="89"/>
    <s v="P-17"/>
    <n v="1"/>
    <x v="23"/>
    <s v="customer@dummy.com"/>
    <x v="0"/>
    <s v="Arabica"/>
    <s v="D"/>
    <x v="3"/>
    <n v="80.778000000000006"/>
    <n v="80.778000000000006"/>
    <x v="1"/>
    <x v="1"/>
    <x v="1"/>
  </r>
  <r>
    <s v="ORD-84621"/>
    <x v="87"/>
    <x v="90"/>
    <s v="P-06"/>
    <n v="5"/>
    <x v="31"/>
    <s v="customer@dummy.com"/>
    <x v="2"/>
    <s v="Liberica"/>
    <s v="D"/>
    <x v="0"/>
    <n v="38.804000000000002"/>
    <n v="194.02"/>
    <x v="2"/>
    <x v="1"/>
    <x v="1"/>
  </r>
  <r>
    <s v="ORD-55378"/>
    <x v="88"/>
    <x v="91"/>
    <s v="P-20"/>
    <n v="5"/>
    <x v="2"/>
    <s v="customer@dummy.com"/>
    <x v="4"/>
    <s v="Excelsa"/>
    <s v="L"/>
    <x v="2"/>
    <n v="19.291"/>
    <n v="96.454999999999998"/>
    <x v="3"/>
    <x v="2"/>
    <x v="1"/>
  </r>
  <r>
    <s v="ORD-57762"/>
    <x v="89"/>
    <x v="92"/>
    <s v="P-20"/>
    <n v="3"/>
    <x v="12"/>
    <s v="customer@dummy.com"/>
    <x v="3"/>
    <s v="Excelsa"/>
    <s v="L"/>
    <x v="2"/>
    <n v="19.291"/>
    <n v="57.873000000000005"/>
    <x v="3"/>
    <x v="2"/>
    <x v="1"/>
  </r>
  <r>
    <s v="ORD-76988"/>
    <x v="90"/>
    <x v="93"/>
    <s v="P-07"/>
    <n v="1"/>
    <x v="4"/>
    <s v="customer@dummy.com"/>
    <x v="5"/>
    <s v="Arabica"/>
    <s v="D"/>
    <x v="1"/>
    <n v="5.7619999999999996"/>
    <n v="5.7619999999999996"/>
    <x v="1"/>
    <x v="1"/>
    <x v="1"/>
  </r>
  <r>
    <s v="ORD-83907"/>
    <x v="91"/>
    <x v="94"/>
    <s v="P-08"/>
    <n v="3"/>
    <x v="6"/>
    <s v="customer@dummy.com"/>
    <x v="1"/>
    <s v="Liberica"/>
    <s v="L"/>
    <x v="2"/>
    <n v="11.098000000000001"/>
    <n v="33.294000000000004"/>
    <x v="2"/>
    <x v="2"/>
    <x v="1"/>
  </r>
  <r>
    <s v="ORD-83289"/>
    <x v="92"/>
    <x v="95"/>
    <s v="P-07"/>
    <n v="6"/>
    <x v="2"/>
    <s v=""/>
    <x v="5"/>
    <s v="Arabica"/>
    <s v="D"/>
    <x v="1"/>
    <n v="5.7619999999999996"/>
    <n v="34.571999999999996"/>
    <x v="1"/>
    <x v="1"/>
    <x v="1"/>
  </r>
  <r>
    <s v="ORD-29589"/>
    <x v="10"/>
    <x v="96"/>
    <s v="P-02"/>
    <n v="3"/>
    <x v="29"/>
    <s v="customer@dummy.com"/>
    <x v="4"/>
    <s v="Robusta"/>
    <s v="M"/>
    <x v="0"/>
    <n v="38.543999999999997"/>
    <n v="115.63199999999999"/>
    <x v="0"/>
    <x v="0"/>
    <x v="0"/>
  </r>
  <r>
    <s v="ORD-94937"/>
    <x v="93"/>
    <x v="97"/>
    <s v="P-20"/>
    <n v="2"/>
    <x v="33"/>
    <s v="customer@dummy.com"/>
    <x v="3"/>
    <s v="Excelsa"/>
    <s v="L"/>
    <x v="2"/>
    <n v="19.291"/>
    <n v="38.582000000000001"/>
    <x v="3"/>
    <x v="2"/>
    <x v="0"/>
  </r>
  <r>
    <s v="ORD-74871"/>
    <x v="94"/>
    <x v="98"/>
    <s v="P-15"/>
    <n v="2"/>
    <x v="9"/>
    <s v="customer@dummy.com"/>
    <x v="1"/>
    <s v="Robusta"/>
    <s v="M"/>
    <x v="0"/>
    <n v="29.852"/>
    <n v="59.704000000000001"/>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9A98FA-9B54-4FFE-9FC9-76EB7B6B88B2}"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4">
  <location ref="A3:E27" firstHeaderRow="1" firstDataRow="2" firstDataCol="2"/>
  <pivotFields count="18">
    <pivotField compact="0" outline="0" showAll="0" defaultSubtotal="0"/>
    <pivotField compact="0" numFmtId="164" outline="0" showAll="0" defaultSubtotal="0">
      <items count="95">
        <item x="79"/>
        <item x="62"/>
        <item x="21"/>
        <item x="77"/>
        <item x="89"/>
        <item x="15"/>
        <item x="14"/>
        <item x="9"/>
        <item x="19"/>
        <item x="17"/>
        <item x="82"/>
        <item x="3"/>
        <item x="39"/>
        <item x="35"/>
        <item x="59"/>
        <item x="37"/>
        <item x="0"/>
        <item x="74"/>
        <item x="55"/>
        <item x="18"/>
        <item x="22"/>
        <item x="85"/>
        <item x="68"/>
        <item x="32"/>
        <item x="81"/>
        <item x="66"/>
        <item x="49"/>
        <item x="90"/>
        <item x="58"/>
        <item x="69"/>
        <item x="43"/>
        <item x="60"/>
        <item x="12"/>
        <item x="91"/>
        <item x="83"/>
        <item x="26"/>
        <item x="48"/>
        <item x="88"/>
        <item x="72"/>
        <item x="13"/>
        <item x="34"/>
        <item x="93"/>
        <item x="23"/>
        <item x="56"/>
        <item x="47"/>
        <item x="25"/>
        <item x="10"/>
        <item x="54"/>
        <item x="46"/>
        <item x="70"/>
        <item x="20"/>
        <item x="6"/>
        <item x="63"/>
        <item x="24"/>
        <item x="53"/>
        <item x="80"/>
        <item x="57"/>
        <item x="41"/>
        <item x="33"/>
        <item x="7"/>
        <item x="45"/>
        <item x="44"/>
        <item x="76"/>
        <item x="87"/>
        <item x="27"/>
        <item x="28"/>
        <item x="11"/>
        <item x="84"/>
        <item x="8"/>
        <item x="1"/>
        <item x="86"/>
        <item x="38"/>
        <item x="29"/>
        <item x="42"/>
        <item x="5"/>
        <item x="67"/>
        <item x="52"/>
        <item x="2"/>
        <item x="65"/>
        <item x="50"/>
        <item x="71"/>
        <item x="36"/>
        <item x="94"/>
        <item x="78"/>
        <item x="16"/>
        <item x="61"/>
        <item x="40"/>
        <item x="64"/>
        <item x="31"/>
        <item x="75"/>
        <item x="51"/>
        <item x="4"/>
        <item x="92"/>
        <item x="73"/>
        <item x="3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h="1" x="1"/>
        <item h="1" x="2"/>
        <item h="1" x="0"/>
        <item x="3"/>
      </items>
    </pivotField>
    <pivotField compact="0" outline="0" showAll="0" defaultSubtotal="0"/>
    <pivotField dataField="1" compact="0" outline="0" showAll="0" defaultSubtotal="0"/>
    <pivotField axis="axisCol" compact="0" outline="0" showAll="0" defaultSubtotal="0">
      <items count="4">
        <item x="1"/>
        <item x="3"/>
        <item x="2"/>
        <item x="0"/>
      </items>
    </pivotField>
    <pivotField compact="0" outline="0" showAll="0" defaultSubtotal="0">
      <items count="3">
        <item x="1"/>
        <item x="2"/>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8">
        <item x="0"/>
        <item x="1"/>
        <item x="2"/>
        <item x="3"/>
        <item x="4"/>
        <item x="5"/>
        <item x="6"/>
        <item x="7"/>
      </items>
    </pivotField>
  </pivotFields>
  <rowFields count="2">
    <field x="17"/>
    <field x="16"/>
  </rowFields>
  <rowItems count="23">
    <i>
      <x v="1"/>
      <x v="1"/>
    </i>
    <i r="1">
      <x v="5"/>
    </i>
    <i r="1">
      <x v="9"/>
    </i>
    <i>
      <x v="2"/>
      <x v="5"/>
    </i>
    <i r="1">
      <x v="7"/>
    </i>
    <i>
      <x v="3"/>
      <x v="1"/>
    </i>
    <i r="1">
      <x v="2"/>
    </i>
    <i r="1">
      <x v="5"/>
    </i>
    <i r="1">
      <x v="7"/>
    </i>
    <i r="1">
      <x v="8"/>
    </i>
    <i r="1">
      <x v="9"/>
    </i>
    <i>
      <x v="4"/>
      <x v="1"/>
    </i>
    <i r="1">
      <x v="3"/>
    </i>
    <i r="1">
      <x v="5"/>
    </i>
    <i r="1">
      <x v="9"/>
    </i>
    <i r="1">
      <x v="10"/>
    </i>
    <i r="1">
      <x v="12"/>
    </i>
    <i>
      <x v="5"/>
      <x v="3"/>
    </i>
    <i r="1">
      <x v="5"/>
    </i>
    <i r="1">
      <x v="7"/>
    </i>
    <i r="1">
      <x v="9"/>
    </i>
    <i r="1">
      <x v="11"/>
    </i>
    <i>
      <x v="6"/>
      <x v="1"/>
    </i>
  </rowItems>
  <colFields count="1">
    <field x="13"/>
  </colFields>
  <colItems count="3">
    <i>
      <x/>
    </i>
    <i>
      <x v="1"/>
    </i>
    <i>
      <x v="3"/>
    </i>
  </colItems>
  <dataFields count="1">
    <dataField name="Sum of Sales" fld="12" baseField="15" baseItem="1" numFmtId="3"/>
  </dataFields>
  <chartFormats count="5">
    <chartFormat chart="33" format="10" series="1">
      <pivotArea type="data" outline="0" fieldPosition="0">
        <references count="2">
          <reference field="4294967294" count="1" selected="0">
            <x v="0"/>
          </reference>
          <reference field="13" count="1" selected="0">
            <x v="0"/>
          </reference>
        </references>
      </pivotArea>
    </chartFormat>
    <chartFormat chart="33" format="11" series="1">
      <pivotArea type="data" outline="0" fieldPosition="0">
        <references count="2">
          <reference field="4294967294" count="1" selected="0">
            <x v="0"/>
          </reference>
          <reference field="13" count="1" selected="0">
            <x v="1"/>
          </reference>
        </references>
      </pivotArea>
    </chartFormat>
    <chartFormat chart="33" format="12" series="1">
      <pivotArea type="data" outline="0" fieldPosition="0">
        <references count="2">
          <reference field="4294967294" count="1" selected="0">
            <x v="0"/>
          </reference>
          <reference field="13" count="1" selected="0">
            <x v="2"/>
          </reference>
        </references>
      </pivotArea>
    </chartFormat>
    <chartFormat chart="33" format="13" series="1">
      <pivotArea type="data" outline="0" fieldPosition="0">
        <references count="2">
          <reference field="4294967294" count="1" selected="0">
            <x v="0"/>
          </reference>
          <reference field="13" count="1" selected="0">
            <x v="3"/>
          </reference>
        </references>
      </pivotArea>
    </chartFormat>
    <chartFormat chart="33" format="14"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7C5554-D85A-4C8E-99A7-25208313F9AD}"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2">
  <location ref="A3:B6" firstHeaderRow="1" firstDataRow="1" firstDataCol="1"/>
  <pivotFields count="18">
    <pivotField compact="0" outline="0" showAll="0" defaultSubtotal="0"/>
    <pivotField compact="0" numFmtId="164" outline="0" showAll="0" defaultSubtotal="0">
      <items count="95">
        <item x="79"/>
        <item x="62"/>
        <item x="21"/>
        <item x="77"/>
        <item x="89"/>
        <item x="15"/>
        <item x="14"/>
        <item x="9"/>
        <item x="19"/>
        <item x="17"/>
        <item x="82"/>
        <item x="3"/>
        <item x="39"/>
        <item x="35"/>
        <item x="59"/>
        <item x="37"/>
        <item x="0"/>
        <item x="74"/>
        <item x="55"/>
        <item x="18"/>
        <item x="22"/>
        <item x="85"/>
        <item x="68"/>
        <item x="32"/>
        <item x="81"/>
        <item x="66"/>
        <item x="49"/>
        <item x="90"/>
        <item x="58"/>
        <item x="69"/>
        <item x="43"/>
        <item x="60"/>
        <item x="12"/>
        <item x="91"/>
        <item x="83"/>
        <item x="26"/>
        <item x="48"/>
        <item x="88"/>
        <item x="72"/>
        <item x="13"/>
        <item x="34"/>
        <item x="93"/>
        <item x="23"/>
        <item x="56"/>
        <item x="47"/>
        <item x="25"/>
        <item x="10"/>
        <item x="54"/>
        <item x="46"/>
        <item x="70"/>
        <item x="20"/>
        <item x="6"/>
        <item x="63"/>
        <item x="24"/>
        <item x="53"/>
        <item x="80"/>
        <item x="57"/>
        <item x="41"/>
        <item x="33"/>
        <item x="7"/>
        <item x="45"/>
        <item x="44"/>
        <item x="76"/>
        <item x="87"/>
        <item x="27"/>
        <item x="28"/>
        <item x="11"/>
        <item x="84"/>
        <item x="8"/>
        <item x="1"/>
        <item x="86"/>
        <item x="38"/>
        <item x="29"/>
        <item x="42"/>
        <item x="5"/>
        <item x="67"/>
        <item x="52"/>
        <item x="2"/>
        <item x="65"/>
        <item x="50"/>
        <item x="71"/>
        <item x="36"/>
        <item x="94"/>
        <item x="78"/>
        <item x="16"/>
        <item x="61"/>
        <item x="40"/>
        <item x="64"/>
        <item x="31"/>
        <item x="75"/>
        <item x="51"/>
        <item x="4"/>
        <item x="92"/>
        <item x="73"/>
        <item x="3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measureFilter="1" sortType="ascending" defaultSubtotal="0">
      <items count="6">
        <item x="0"/>
        <item x="5"/>
        <item x="3"/>
        <item x="2"/>
        <item x="4"/>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h="1" x="1"/>
        <item h="1" x="2"/>
        <item h="1" x="0"/>
        <item x="3"/>
      </items>
    </pivotField>
    <pivotField compact="0" outline="0" showAll="0" defaultSubtotal="0"/>
    <pivotField dataField="1" compact="0" outline="0" showAll="0" defaultSubtotal="0"/>
    <pivotField compact="0" outline="0" showAll="0" defaultSubtotal="0">
      <items count="4">
        <item x="1"/>
        <item x="3"/>
        <item x="2"/>
        <item x="0"/>
      </items>
    </pivotField>
    <pivotField compact="0" outline="0" showAll="0" defaultSubtotal="0">
      <items count="3">
        <item x="1"/>
        <item x="2"/>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8">
        <item x="0"/>
        <item x="1"/>
        <item x="2"/>
        <item x="3"/>
        <item x="4"/>
        <item x="5"/>
        <item x="6"/>
        <item x="7"/>
      </items>
    </pivotField>
  </pivotFields>
  <rowFields count="1">
    <field x="7"/>
  </rowFields>
  <rowItems count="3">
    <i>
      <x v="4"/>
    </i>
    <i>
      <x v="1"/>
    </i>
    <i>
      <x v="3"/>
    </i>
  </rowItems>
  <colItems count="1">
    <i/>
  </colItems>
  <dataFields count="1">
    <dataField name="Sum of Sales" fld="12" baseField="7" baseItem="1" numFmtId="165"/>
  </dataFields>
  <chartFormats count="6">
    <chartFormat chart="28" format="5" series="1">
      <pivotArea type="data" outline="0" fieldPosition="0">
        <references count="1">
          <reference field="4294967294" count="1" selected="0">
            <x v="0"/>
          </reference>
        </references>
      </pivotArea>
    </chartFormat>
    <chartFormat chart="32" format="10" series="1">
      <pivotArea type="data" outline="0" fieldPosition="0">
        <references count="1">
          <reference field="4294967294" count="1" selected="0">
            <x v="0"/>
          </reference>
        </references>
      </pivotArea>
    </chartFormat>
    <chartFormat chart="41" format="8" series="1">
      <pivotArea type="data" outline="0" fieldPosition="0">
        <references count="1">
          <reference field="4294967294" count="1" selected="0">
            <x v="0"/>
          </reference>
        </references>
      </pivotArea>
    </chartFormat>
    <chartFormat chart="41" format="9">
      <pivotArea type="data" outline="0" fieldPosition="0">
        <references count="2">
          <reference field="4294967294" count="1" selected="0">
            <x v="0"/>
          </reference>
          <reference field="7" count="1" selected="0">
            <x v="1"/>
          </reference>
        </references>
      </pivotArea>
    </chartFormat>
    <chartFormat chart="41" format="10">
      <pivotArea type="data" outline="0" fieldPosition="0">
        <references count="2">
          <reference field="4294967294" count="1" selected="0">
            <x v="0"/>
          </reference>
          <reference field="7" count="1" selected="0">
            <x v="4"/>
          </reference>
        </references>
      </pivotArea>
    </chartFormat>
    <chartFormat chart="41" format="11">
      <pivotArea type="data" outline="0" fieldPosition="0">
        <references count="2">
          <reference field="4294967294" count="1" selected="0">
            <x v="0"/>
          </reference>
          <reference field="7" count="1" selected="0">
            <x v="3"/>
          </reference>
        </references>
      </pivotArea>
    </chartFormat>
  </chartFormats>
  <pivotTableStyleInfo name="PivotStyleMedium12" showRowHeaders="1" showColHeaders="1" showRowStripes="0" showColStripes="0" showLastColumn="1"/>
  <filters count="1">
    <filter fld="7" type="count" evalOrder="-1" id="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D99B1D-3135-4E34-99A0-57B44DCFCACD}"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5">
  <location ref="A3:B8" firstHeaderRow="1" firstDataRow="1" firstDataCol="1"/>
  <pivotFields count="18">
    <pivotField compact="0" outline="0" showAll="0" defaultSubtotal="0"/>
    <pivotField compact="0" numFmtId="164" outline="0" showAll="0" defaultSubtotal="0">
      <items count="95">
        <item x="79"/>
        <item x="62"/>
        <item x="21"/>
        <item x="77"/>
        <item x="89"/>
        <item x="15"/>
        <item x="14"/>
        <item x="9"/>
        <item x="19"/>
        <item x="17"/>
        <item x="82"/>
        <item x="3"/>
        <item x="39"/>
        <item x="35"/>
        <item x="59"/>
        <item x="37"/>
        <item x="0"/>
        <item x="74"/>
        <item x="55"/>
        <item x="18"/>
        <item x="22"/>
        <item x="85"/>
        <item x="68"/>
        <item x="32"/>
        <item x="81"/>
        <item x="66"/>
        <item x="49"/>
        <item x="90"/>
        <item x="58"/>
        <item x="69"/>
        <item x="43"/>
        <item x="60"/>
        <item x="12"/>
        <item x="91"/>
        <item x="83"/>
        <item x="26"/>
        <item x="48"/>
        <item x="88"/>
        <item x="72"/>
        <item x="13"/>
        <item x="34"/>
        <item x="93"/>
        <item x="23"/>
        <item x="56"/>
        <item x="47"/>
        <item x="25"/>
        <item x="10"/>
        <item x="54"/>
        <item x="46"/>
        <item x="70"/>
        <item x="20"/>
        <item x="6"/>
        <item x="63"/>
        <item x="24"/>
        <item x="53"/>
        <item x="80"/>
        <item x="57"/>
        <item x="41"/>
        <item x="33"/>
        <item x="7"/>
        <item x="45"/>
        <item x="44"/>
        <item x="76"/>
        <item x="87"/>
        <item x="27"/>
        <item x="28"/>
        <item x="11"/>
        <item x="84"/>
        <item x="8"/>
        <item x="1"/>
        <item x="86"/>
        <item x="38"/>
        <item x="29"/>
        <item x="42"/>
        <item x="5"/>
        <item x="67"/>
        <item x="52"/>
        <item x="2"/>
        <item x="65"/>
        <item x="50"/>
        <item x="71"/>
        <item x="36"/>
        <item x="94"/>
        <item x="78"/>
        <item x="16"/>
        <item x="61"/>
        <item x="40"/>
        <item x="64"/>
        <item x="31"/>
        <item x="75"/>
        <item x="51"/>
        <item x="4"/>
        <item x="92"/>
        <item x="73"/>
        <item x="30"/>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34">
        <item x="14"/>
        <item x="4"/>
        <item x="21"/>
        <item x="29"/>
        <item x="33"/>
        <item x="16"/>
        <item x="7"/>
        <item x="1"/>
        <item x="0"/>
        <item x="17"/>
        <item x="25"/>
        <item x="12"/>
        <item x="31"/>
        <item x="23"/>
        <item x="22"/>
        <item x="10"/>
        <item x="15"/>
        <item x="2"/>
        <item x="8"/>
        <item x="19"/>
        <item x="20"/>
        <item x="6"/>
        <item x="30"/>
        <item x="28"/>
        <item x="5"/>
        <item x="13"/>
        <item x="24"/>
        <item x="9"/>
        <item x="32"/>
        <item x="11"/>
        <item x="18"/>
        <item x="3"/>
        <item x="27"/>
        <item x="26"/>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measureFilter="1" sortType="ascending" defaultSubtotal="0">
      <items count="6">
        <item x="0"/>
        <item x="5"/>
        <item x="3"/>
        <item x="2"/>
        <item x="4"/>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h="1" x="1"/>
        <item h="1" x="2"/>
        <item h="1" x="0"/>
        <item x="3"/>
      </items>
    </pivotField>
    <pivotField compact="0" outline="0" showAll="0" defaultSubtotal="0"/>
    <pivotField dataField="1" compact="0" outline="0" showAll="0" defaultSubtotal="0"/>
    <pivotField compact="0" outline="0" showAll="0" defaultSubtotal="0">
      <items count="4">
        <item x="1"/>
        <item x="3"/>
        <item x="2"/>
        <item x="0"/>
      </items>
    </pivotField>
    <pivotField compact="0" outline="0" showAll="0" defaultSubtotal="0">
      <items count="3">
        <item x="1"/>
        <item x="2"/>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8">
        <item x="0"/>
        <item x="1"/>
        <item x="2"/>
        <item x="3"/>
        <item x="4"/>
        <item x="5"/>
        <item x="6"/>
        <item x="7"/>
      </items>
    </pivotField>
  </pivotFields>
  <rowFields count="1">
    <field x="5"/>
  </rowFields>
  <rowItems count="5">
    <i>
      <x/>
    </i>
    <i>
      <x v="6"/>
    </i>
    <i>
      <x v="30"/>
    </i>
    <i>
      <x v="23"/>
    </i>
    <i>
      <x v="21"/>
    </i>
  </rowItems>
  <colItems count="1">
    <i/>
  </colItems>
  <dataFields count="1">
    <dataField name="Sum of Sales" fld="12" baseField="7" baseItem="1" numFmtId="165"/>
  </dataFields>
  <chartFormats count="4">
    <chartFormat chart="28" format="5" series="1">
      <pivotArea type="data" outline="0" fieldPosition="0">
        <references count="1">
          <reference field="4294967294" count="1" selected="0">
            <x v="0"/>
          </reference>
        </references>
      </pivotArea>
    </chartFormat>
    <chartFormat chart="32" format="1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4" format="9"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filters count="2">
    <filter fld="7" type="count" evalOrder="-1" id="4" iMeasureFld="0">
      <autoFilter ref="A1">
        <filterColumn colId="0">
          <top10 val="3" filterVal="3"/>
        </filterColumn>
      </autoFilter>
    </filter>
    <filter fld="5"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20DECAFC-BFBF-47AF-8D3E-C093EA093F6D}" sourceName="Size">
  <pivotTables>
    <pivotTable tabId="3" name="Total Sales"/>
    <pivotTable tabId="8" name="Total Sales"/>
    <pivotTable tabId="6" name="Total Sales"/>
  </pivotTables>
  <data>
    <tabular pivotCacheId="411641948">
      <items count="4">
        <i x="1"/>
        <i x="2"/>
        <i x="0"/>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4061A42B-594C-4CCC-9726-CA423A38678A}" sourceName="Roast Type Name">
  <pivotTables>
    <pivotTable tabId="3" name="Total Sales"/>
    <pivotTable tabId="8" name="Total Sales"/>
    <pivotTable tabId="6" name="Total Sales"/>
  </pivotTables>
  <data>
    <tabular pivotCacheId="411641948">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F1FD6C52-B609-44FF-8EA1-28963019E1B4}" sourceName="Loyalty card">
  <pivotTables>
    <pivotTable tabId="3" name="Total Sales"/>
    <pivotTable tabId="8" name="Total Sales"/>
    <pivotTable tabId="6" name="Total Sales"/>
  </pivotTables>
  <data>
    <tabular pivotCacheId="41164194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FA5AD44B-FA32-4249-953A-4824B5DDB718}" cache="Slicer_Size" caption="Size" columnCount="2" style="Purple slicer style" rowHeight="234950"/>
  <slicer name="Roast Type Name" xr10:uid="{44B8A182-CFCE-4ECC-9AE8-BB2559DA5687}" cache="Slicer_Roast_Type_Name" caption="Roast Type Name" columnCount="3" style="Purple slicer style" rowHeight="234950"/>
  <slicer name="Loyalty card" xr10:uid="{B07092D1-9F7C-4597-8F01-7E8580BBEAD8}" cache="Slicer_Loyalty_card" caption="Loyalty card" style="Purple slicer styl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BDFD48-290C-4481-913B-BCB7137E29F5}" name="Table1" displayName="Table1" ref="A1:P100" totalsRowShown="0">
  <autoFilter ref="A1:P100" xr:uid="{B8BDFD48-290C-4481-913B-BCB7137E29F5}"/>
  <tableColumns count="16">
    <tableColumn id="1" xr3:uid="{4D2357C9-42F8-4228-BB07-4C8A3E91542D}" name="Order ID"/>
    <tableColumn id="2" xr3:uid="{B6251829-6E46-495D-9BD9-C27E73015C37}" name="Order Date" dataDxfId="1"/>
    <tableColumn id="3" xr3:uid="{4044863E-A0CA-4343-BD9D-681D6CDD89C6}" name="Customer ID"/>
    <tableColumn id="4" xr3:uid="{825C63CA-F0CD-421F-97FA-370A1D0720ED}" name="Product ID"/>
    <tableColumn id="5" xr3:uid="{0B9399BC-FDC6-46C0-9229-50EA3EA2B450}" name="Quantity"/>
    <tableColumn id="6" xr3:uid="{27321CBD-57A6-4A55-A2AD-447ABC7C962B}" name="Customer Name"/>
    <tableColumn id="7" xr3:uid="{AB26D1C7-71A9-44DF-8A06-7D5B69E7AFF2}" name="Email">
      <calculatedColumnFormula>IF(_xlfn.XLOOKUP(C2,[1]Customers!$A$1:$A$100,[1]Customers!$C$1:$C$100,,0)=0,"",_xlfn.XLOOKUP(C2,[1]Customers!$A$1:$A$100,[1]Customers!$C$1:$C$100,,0))</calculatedColumnFormula>
    </tableColumn>
    <tableColumn id="8" xr3:uid="{6258BF83-1C26-43E3-A839-D09F08259BA8}" name="Country">
      <calculatedColumnFormula>_xlfn.XLOOKUP(C2,[1]Customers!$A$1:$A$100,[1]Customers!$G$1:$G$100,,0)</calculatedColumnFormula>
    </tableColumn>
    <tableColumn id="9" xr3:uid="{D599E4F0-25A2-4B10-8904-44322DE34640}" name="Coffee Type">
      <calculatedColumnFormula>_xlfn.XLOOKUP(D2,[2]Products!$A$1:$A$100,[2]Products!$B$1:$B$100,,0)</calculatedColumnFormula>
    </tableColumn>
    <tableColumn id="10" xr3:uid="{34359F54-7EDE-49F0-B2C6-2D67B9F09882}" name="Roast Type">
      <calculatedColumnFormula>_xlfn.XLOOKUP(D2,[2]Products!$A$1:$A$100,[2]Products!$C$1:$C$100,,0)</calculatedColumnFormula>
    </tableColumn>
    <tableColumn id="11" xr3:uid="{74507B9E-AD66-4F44-9177-264596E1BD80}" name="Size">
      <calculatedColumnFormula>_xlfn.XLOOKUP(D2,[2]Products!$A$1:$A$100,[2]Products!$D$1:$D$100,,0)</calculatedColumnFormula>
    </tableColumn>
    <tableColumn id="12" xr3:uid="{6FFC843F-177A-427A-B0C8-A1A0DF2867B3}" name="Unit Price">
      <calculatedColumnFormula>_xlfn.XLOOKUP(D2,[2]Products!$A$1:$A$100,[2]Products!$E$1:$E$100,,0)</calculatedColumnFormula>
    </tableColumn>
    <tableColumn id="13" xr3:uid="{D990A583-BD79-4510-9DAF-6E605425D075}" name="Sales">
      <calculatedColumnFormula>L2*E2</calculatedColumnFormula>
    </tableColumn>
    <tableColumn id="14" xr3:uid="{0831F5A3-B23B-4C5E-A14D-875A76CC4411}" name="Coffe Type Name">
      <calculatedColumnFormula>IF(I2="Robusta","Rob",IF(I2="Arabica","Ara",IF(I2="Liberica","Lib",IF(I2="Excelsa","Excel",""))))</calculatedColumnFormula>
    </tableColumn>
    <tableColumn id="15" xr3:uid="{FADDAA93-5DFB-419B-8579-205AE73FFE13}" name="Roast Type Name">
      <calculatedColumnFormula>IF(J2="M","Medium",IF(J2="D","Dark",IF(J2="L","Light","")))</calculatedColumnFormula>
    </tableColumn>
    <tableColumn id="16" xr3:uid="{E5A157A2-1012-4A58-8C38-B52164A467B2}" name="Loyalty card" dataDxfId="0">
      <calculatedColumnFormula>_xlfn.XLOOKUP([3]Customers!A2,[3]Customers!$A$1:$A$100,[3]Customers!$I$1:$I$100,,0)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6DA2C40-E725-494F-83E4-620BC061C12D}" sourceName="Order Date">
  <pivotTables>
    <pivotTable tabId="3" name="Total Sales"/>
    <pivotTable tabId="8" name="Total Sales"/>
    <pivotTable tabId="6" name="Total Sales"/>
  </pivotTables>
  <state minimalRefreshVersion="6" lastRefreshVersion="6" pivotCacheId="411641948" filterType="unknown">
    <bounds startDate="2019-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FEF58C9-B9D1-4606-966A-42A1A31279EB}"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65672-BE43-4BE8-869D-9E1472978350}">
  <dimension ref="A3:E27"/>
  <sheetViews>
    <sheetView workbookViewId="0">
      <selection activeCell="AB13" sqref="AB13"/>
    </sheetView>
  </sheetViews>
  <sheetFormatPr defaultRowHeight="14.4" x14ac:dyDescent="0.3"/>
  <cols>
    <col min="1" max="1" width="12.5546875" bestFit="1" customWidth="1"/>
    <col min="2" max="2" width="20.88671875" bestFit="1" customWidth="1"/>
    <col min="3" max="3" width="17.88671875" bestFit="1" customWidth="1"/>
    <col min="4" max="4" width="5.21875" bestFit="1" customWidth="1"/>
    <col min="5" max="6" width="4.33203125" bestFit="1" customWidth="1"/>
  </cols>
  <sheetData>
    <row r="3" spans="1:5" x14ac:dyDescent="0.3">
      <c r="A3" s="1" t="s">
        <v>288</v>
      </c>
      <c r="C3" s="1" t="s">
        <v>265</v>
      </c>
    </row>
    <row r="4" spans="1:5" x14ac:dyDescent="0.3">
      <c r="A4" s="1" t="s">
        <v>283</v>
      </c>
      <c r="B4" s="1" t="s">
        <v>284</v>
      </c>
      <c r="C4" t="s">
        <v>287</v>
      </c>
      <c r="D4" t="s">
        <v>285</v>
      </c>
      <c r="E4" t="s">
        <v>286</v>
      </c>
    </row>
    <row r="5" spans="1:5" x14ac:dyDescent="0.3">
      <c r="A5" t="s">
        <v>267</v>
      </c>
      <c r="B5" t="s">
        <v>273</v>
      </c>
      <c r="C5" s="3"/>
      <c r="D5" s="3">
        <v>265.64099999999996</v>
      </c>
      <c r="E5" s="3"/>
    </row>
    <row r="6" spans="1:5" x14ac:dyDescent="0.3">
      <c r="B6" t="s">
        <v>276</v>
      </c>
      <c r="C6" s="3">
        <v>306.25</v>
      </c>
      <c r="D6" s="3"/>
      <c r="E6" s="3"/>
    </row>
    <row r="7" spans="1:5" x14ac:dyDescent="0.3">
      <c r="B7" t="s">
        <v>278</v>
      </c>
      <c r="C7" s="3"/>
      <c r="D7" s="3">
        <v>354.18799999999999</v>
      </c>
      <c r="E7" s="3"/>
    </row>
    <row r="8" spans="1:5" x14ac:dyDescent="0.3">
      <c r="A8" t="s">
        <v>268</v>
      </c>
      <c r="B8" t="s">
        <v>276</v>
      </c>
      <c r="C8" s="3"/>
      <c r="D8" s="3">
        <v>154.03800000000001</v>
      </c>
      <c r="E8" s="3"/>
    </row>
    <row r="9" spans="1:5" x14ac:dyDescent="0.3">
      <c r="B9" t="s">
        <v>277</v>
      </c>
      <c r="C9" s="3"/>
      <c r="D9" s="3">
        <v>539.13300000000004</v>
      </c>
      <c r="E9" s="3"/>
    </row>
    <row r="10" spans="1:5" x14ac:dyDescent="0.3">
      <c r="A10" t="s">
        <v>269</v>
      </c>
      <c r="B10" t="s">
        <v>273</v>
      </c>
      <c r="C10" s="3"/>
      <c r="D10" s="3"/>
      <c r="E10" s="3">
        <v>321.80799999999999</v>
      </c>
    </row>
    <row r="11" spans="1:5" x14ac:dyDescent="0.3">
      <c r="B11" t="s">
        <v>274</v>
      </c>
      <c r="C11" s="3">
        <v>373.11599999999999</v>
      </c>
      <c r="D11" s="3"/>
      <c r="E11" s="3"/>
    </row>
    <row r="12" spans="1:5" x14ac:dyDescent="0.3">
      <c r="B12" t="s">
        <v>276</v>
      </c>
      <c r="C12" s="3"/>
      <c r="D12" s="3"/>
      <c r="E12" s="3">
        <v>241.35599999999999</v>
      </c>
    </row>
    <row r="13" spans="1:5" x14ac:dyDescent="0.3">
      <c r="B13" t="s">
        <v>277</v>
      </c>
      <c r="C13" s="3">
        <v>559.67399999999998</v>
      </c>
      <c r="D13" s="3"/>
      <c r="E13" s="3"/>
    </row>
    <row r="14" spans="1:5" x14ac:dyDescent="0.3">
      <c r="B14" t="s">
        <v>282</v>
      </c>
      <c r="C14" s="3">
        <v>93.278999999999996</v>
      </c>
      <c r="D14" s="3"/>
      <c r="E14" s="3">
        <v>482.71199999999999</v>
      </c>
    </row>
    <row r="15" spans="1:5" x14ac:dyDescent="0.3">
      <c r="B15" t="s">
        <v>278</v>
      </c>
      <c r="C15" s="3">
        <v>323.11200000000002</v>
      </c>
      <c r="D15" s="3"/>
      <c r="E15" s="3"/>
    </row>
    <row r="16" spans="1:5" x14ac:dyDescent="0.3">
      <c r="A16" t="s">
        <v>270</v>
      </c>
      <c r="B16" t="s">
        <v>273</v>
      </c>
      <c r="C16" s="3">
        <v>428.75</v>
      </c>
      <c r="D16" s="3">
        <v>531.28199999999993</v>
      </c>
      <c r="E16" s="3"/>
    </row>
    <row r="17" spans="1:5" x14ac:dyDescent="0.3">
      <c r="B17" t="s">
        <v>275</v>
      </c>
      <c r="C17" s="3"/>
      <c r="D17" s="3">
        <v>154.03800000000001</v>
      </c>
      <c r="E17" s="3"/>
    </row>
    <row r="18" spans="1:5" x14ac:dyDescent="0.3">
      <c r="B18" t="s">
        <v>276</v>
      </c>
      <c r="C18" s="3">
        <v>93.278999999999996</v>
      </c>
      <c r="D18" s="3"/>
      <c r="E18" s="3"/>
    </row>
    <row r="19" spans="1:5" x14ac:dyDescent="0.3">
      <c r="B19" t="s">
        <v>278</v>
      </c>
      <c r="C19" s="3">
        <v>466.39499999999998</v>
      </c>
      <c r="D19" s="3"/>
      <c r="E19" s="3"/>
    </row>
    <row r="20" spans="1:5" x14ac:dyDescent="0.3">
      <c r="B20" t="s">
        <v>279</v>
      </c>
      <c r="C20" s="3">
        <v>122.5</v>
      </c>
      <c r="D20" s="3"/>
      <c r="E20" s="3"/>
    </row>
    <row r="21" spans="1:5" x14ac:dyDescent="0.3">
      <c r="B21" t="s">
        <v>281</v>
      </c>
      <c r="C21" s="3">
        <v>466.39499999999998</v>
      </c>
      <c r="D21" s="3"/>
      <c r="E21" s="3"/>
    </row>
    <row r="22" spans="1:5" x14ac:dyDescent="0.3">
      <c r="A22" t="s">
        <v>271</v>
      </c>
      <c r="B22" t="s">
        <v>275</v>
      </c>
      <c r="C22" s="3">
        <v>80.778000000000006</v>
      </c>
      <c r="D22" s="3"/>
      <c r="E22" s="3"/>
    </row>
    <row r="23" spans="1:5" x14ac:dyDescent="0.3">
      <c r="B23" t="s">
        <v>276</v>
      </c>
      <c r="C23" s="3">
        <v>279.83699999999999</v>
      </c>
      <c r="D23" s="3"/>
      <c r="E23" s="3"/>
    </row>
    <row r="24" spans="1:5" x14ac:dyDescent="0.3">
      <c r="B24" t="s">
        <v>277</v>
      </c>
      <c r="C24" s="3">
        <v>245</v>
      </c>
      <c r="D24" s="3"/>
      <c r="E24" s="3"/>
    </row>
    <row r="25" spans="1:5" x14ac:dyDescent="0.3">
      <c r="B25" t="s">
        <v>278</v>
      </c>
      <c r="C25" s="3">
        <v>403.89</v>
      </c>
      <c r="D25" s="3"/>
      <c r="E25" s="3"/>
    </row>
    <row r="26" spans="1:5" x14ac:dyDescent="0.3">
      <c r="B26" t="s">
        <v>280</v>
      </c>
      <c r="C26" s="3">
        <v>80.778000000000006</v>
      </c>
      <c r="D26" s="3"/>
      <c r="E26" s="3"/>
    </row>
    <row r="27" spans="1:5" x14ac:dyDescent="0.3">
      <c r="A27" t="s">
        <v>272</v>
      </c>
      <c r="B27" t="s">
        <v>273</v>
      </c>
      <c r="C27" s="3">
        <v>279.83699999999999</v>
      </c>
      <c r="D27" s="3"/>
      <c r="E27"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
  <sheetViews>
    <sheetView topLeftCell="A20" workbookViewId="0">
      <selection sqref="A1:P1048576"/>
    </sheetView>
  </sheetViews>
  <sheetFormatPr defaultRowHeight="14.4" x14ac:dyDescent="0.3"/>
  <cols>
    <col min="1" max="1" width="10.33203125" bestFit="1" customWidth="1"/>
    <col min="2" max="2" width="12.33203125" bestFit="1" customWidth="1"/>
    <col min="3" max="3" width="13.5546875" bestFit="1" customWidth="1"/>
    <col min="4" max="4" width="12.109375" bestFit="1" customWidth="1"/>
    <col min="5" max="5" width="10.5546875" bestFit="1" customWidth="1"/>
    <col min="6" max="6" width="16.88671875" bestFit="1" customWidth="1"/>
    <col min="7" max="7" width="20.77734375" bestFit="1" customWidth="1"/>
    <col min="8" max="8" width="10" bestFit="1" customWidth="1"/>
    <col min="9" max="9" width="13.33203125" bestFit="1" customWidth="1"/>
    <col min="10" max="10" width="12.44140625" bestFit="1" customWidth="1"/>
    <col min="11" max="11" width="6.44140625" bestFit="1" customWidth="1"/>
    <col min="12" max="12" width="11.33203125" bestFit="1" customWidth="1"/>
    <col min="13" max="13" width="8" bestFit="1" customWidth="1"/>
    <col min="14" max="14" width="17.88671875" bestFit="1" customWidth="1"/>
    <col min="15" max="15" width="18" bestFit="1" customWidth="1"/>
    <col min="16" max="16" width="13.4414062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265</v>
      </c>
      <c r="O1" t="s">
        <v>266</v>
      </c>
      <c r="P1" t="s">
        <v>289</v>
      </c>
    </row>
    <row r="2" spans="1:16" x14ac:dyDescent="0.3">
      <c r="A2" t="s">
        <v>13</v>
      </c>
      <c r="B2" s="2">
        <v>43919</v>
      </c>
      <c r="C2" t="s">
        <v>99</v>
      </c>
      <c r="D2" t="s">
        <v>15</v>
      </c>
      <c r="E2">
        <v>1</v>
      </c>
      <c r="F2" t="s">
        <v>81</v>
      </c>
      <c r="G2" t="str">
        <f>IF(_xlfn.XLOOKUP(C2,[1]Customers!$A$1:$A$100,[1]Customers!$C$1:$C$100,,0)=0,"",_xlfn.XLOOKUP(C2,[1]Customers!$A$1:$A$100,[1]Customers!$C$1:$C$100,,0))</f>
        <v>customer@dummy.com</v>
      </c>
      <c r="H2" t="str">
        <f>_xlfn.XLOOKUP(C2,[1]Customers!$A$1:$A$100,[1]Customers!$G$1:$G$100,,0)</f>
        <v>Australia</v>
      </c>
      <c r="I2" t="str">
        <f>_xlfn.XLOOKUP(D2,[2]Products!$A$1:$A$100,[2]Products!$B$1:$B$100,,0)</f>
        <v>Robusta</v>
      </c>
      <c r="J2" t="str">
        <f>_xlfn.XLOOKUP(D2,[2]Products!$A$1:$A$100,[2]Products!$C$1:$C$100,,0)</f>
        <v>M</v>
      </c>
      <c r="K2">
        <f>_xlfn.XLOOKUP(D2,[2]Products!$A$1:$A$100,[2]Products!$D$1:$D$100,,0)</f>
        <v>1</v>
      </c>
      <c r="L2">
        <f>_xlfn.XLOOKUP(D2,[2]Products!$A$1:$A$100,[2]Products!$E$1:$E$100,,0)</f>
        <v>29.852</v>
      </c>
      <c r="M2">
        <f>L2*E2</f>
        <v>29.852</v>
      </c>
      <c r="N2" t="str">
        <f>IF(I2="Robusta","Rob",IF(I2="Arabica","Ara",IF(I2="Liberica","Lib",IF(I2="Excelsa","Excel",""))))</f>
        <v>Rob</v>
      </c>
      <c r="O2" t="str">
        <f>IF(J2="M","Medium",IF(J2="D","Dark",IF(J2="L","Light","")))</f>
        <v>Medium</v>
      </c>
      <c r="P2" t="str">
        <f>_xlfn.XLOOKUP([3]Customers!A2,[3]Customers!$A$1:$A$100,[3]Customers!$I$1:$I$100,,0)</f>
        <v>Yes</v>
      </c>
    </row>
    <row r="3" spans="1:16" x14ac:dyDescent="0.3">
      <c r="A3" t="s">
        <v>17</v>
      </c>
      <c r="B3" s="2">
        <v>44982</v>
      </c>
      <c r="C3" t="s">
        <v>214</v>
      </c>
      <c r="D3" t="s">
        <v>19</v>
      </c>
      <c r="E3">
        <v>5</v>
      </c>
      <c r="F3" t="s">
        <v>249</v>
      </c>
      <c r="G3" t="str">
        <f>IF(_xlfn.XLOOKUP(C3,[1]Customers!$A$1:$A$100,[1]Customers!$C$1:$C$100,,0)=0,"",_xlfn.XLOOKUP(C3,[1]Customers!$A$1:$A$100,[1]Customers!$C$1:$C$100,,0))</f>
        <v>customer@dummy.com</v>
      </c>
      <c r="H3" t="str">
        <f>_xlfn.XLOOKUP(C3,[1]Customers!$A$1:$A$100,[1]Customers!$G$1:$G$100,,0)</f>
        <v>USA</v>
      </c>
      <c r="I3" t="str">
        <f>_xlfn.XLOOKUP(D3,[2]Products!$A$1:$A$100,[2]Products!$B$1:$B$100,,0)</f>
        <v>Arabica</v>
      </c>
      <c r="J3" t="str">
        <f>_xlfn.XLOOKUP(D3,[2]Products!$A$1:$A$100,[2]Products!$C$1:$C$100,,0)</f>
        <v>D</v>
      </c>
      <c r="K3">
        <f>_xlfn.XLOOKUP(D3,[2]Products!$A$1:$A$100,[2]Products!$D$1:$D$100,,0)</f>
        <v>0.2</v>
      </c>
      <c r="L3">
        <f>_xlfn.XLOOKUP(D3,[2]Products!$A$1:$A$100,[2]Products!$E$1:$E$100,,0)</f>
        <v>5.7619999999999996</v>
      </c>
      <c r="M3">
        <f t="shared" ref="M3:M66" si="0">L3*E3</f>
        <v>28.81</v>
      </c>
      <c r="N3" t="str">
        <f t="shared" ref="N3:N66" si="1">IF(I3="Robusta","Rob",IF(I3="Arabica","Ara",IF(I3="Liberica","Lib",IF(I3="Excelsa","Excel",""))))</f>
        <v>Ara</v>
      </c>
      <c r="O3" t="str">
        <f t="shared" ref="O3:O66" si="2">IF(J3="M","Medium",IF(J3="D","Dark",IF(J3="L","Light","")))</f>
        <v>Dark</v>
      </c>
      <c r="P3" t="str">
        <f>_xlfn.XLOOKUP([3]Customers!A3,[3]Customers!$A$1:$A$100,[3]Customers!$I$1:$I$100,,0)</f>
        <v>Yes</v>
      </c>
    </row>
    <row r="4" spans="1:16" x14ac:dyDescent="0.3">
      <c r="A4" t="s">
        <v>21</v>
      </c>
      <c r="B4" s="2">
        <v>45100</v>
      </c>
      <c r="C4" t="s">
        <v>215</v>
      </c>
      <c r="D4" t="s">
        <v>23</v>
      </c>
      <c r="E4">
        <v>1</v>
      </c>
      <c r="F4" t="s">
        <v>42</v>
      </c>
      <c r="G4" t="str">
        <f>IF(_xlfn.XLOOKUP(C4,[1]Customers!$A$1:$A$100,[1]Customers!$C$1:$C$100,,0)=0,"",_xlfn.XLOOKUP(C4,[1]Customers!$A$1:$A$100,[1]Customers!$C$1:$C$100,,0))</f>
        <v>customer@dummy.com</v>
      </c>
      <c r="H4" t="str">
        <f>_xlfn.XLOOKUP(C4,[1]Customers!$A$1:$A$100,[1]Customers!$G$1:$G$100,,0)</f>
        <v>India</v>
      </c>
      <c r="I4" t="str">
        <f>_xlfn.XLOOKUP(D4,[2]Products!$A$1:$A$100,[2]Products!$B$1:$B$100,,0)</f>
        <v>Liberica</v>
      </c>
      <c r="J4" t="str">
        <f>_xlfn.XLOOKUP(D4,[2]Products!$A$1:$A$100,[2]Products!$C$1:$C$100,,0)</f>
        <v>L</v>
      </c>
      <c r="K4">
        <f>_xlfn.XLOOKUP(D4,[2]Products!$A$1:$A$100,[2]Products!$D$1:$D$100,,0)</f>
        <v>0.5</v>
      </c>
      <c r="L4">
        <f>_xlfn.XLOOKUP(D4,[2]Products!$A$1:$A$100,[2]Products!$E$1:$E$100,,0)</f>
        <v>11.098000000000001</v>
      </c>
      <c r="M4">
        <f t="shared" si="0"/>
        <v>11.098000000000001</v>
      </c>
      <c r="N4" t="str">
        <f t="shared" si="1"/>
        <v>Lib</v>
      </c>
      <c r="O4" t="str">
        <f t="shared" si="2"/>
        <v>Light</v>
      </c>
      <c r="P4" t="str">
        <f>_xlfn.XLOOKUP([3]Customers!A4,[3]Customers!$A$1:$A$100,[3]Customers!$I$1:$I$100,,0)</f>
        <v>No</v>
      </c>
    </row>
    <row r="5" spans="1:16" x14ac:dyDescent="0.3">
      <c r="A5" t="s">
        <v>25</v>
      </c>
      <c r="B5" s="2">
        <v>43739</v>
      </c>
      <c r="C5" t="s">
        <v>77</v>
      </c>
      <c r="D5" t="s">
        <v>27</v>
      </c>
      <c r="E5">
        <v>4</v>
      </c>
      <c r="F5" t="s">
        <v>250</v>
      </c>
      <c r="G5" t="str">
        <f>IF(_xlfn.XLOOKUP(C5,[1]Customers!$A$1:$A$100,[1]Customers!$C$1:$C$100,,0)=0,"",_xlfn.XLOOKUP(C5,[1]Customers!$A$1:$A$100,[1]Customers!$C$1:$C$100,,0))</f>
        <v>customer@dummy.com</v>
      </c>
      <c r="H5" t="str">
        <f>_xlfn.XLOOKUP(C5,[1]Customers!$A$1:$A$100,[1]Customers!$G$1:$G$100,,0)</f>
        <v>Germany</v>
      </c>
      <c r="I5" t="str">
        <f>_xlfn.XLOOKUP(D5,[2]Products!$A$1:$A$100,[2]Products!$B$1:$B$100,,0)</f>
        <v>Excelsa</v>
      </c>
      <c r="J5" t="str">
        <f>_xlfn.XLOOKUP(D5,[2]Products!$A$1:$A$100,[2]Products!$C$1:$C$100,,0)</f>
        <v>L</v>
      </c>
      <c r="K5">
        <f>_xlfn.XLOOKUP(D5,[2]Products!$A$1:$A$100,[2]Products!$D$1:$D$100,,0)</f>
        <v>1</v>
      </c>
      <c r="L5">
        <f>_xlfn.XLOOKUP(D5,[2]Products!$A$1:$A$100,[2]Products!$E$1:$E$100,,0)</f>
        <v>23.021000000000001</v>
      </c>
      <c r="M5">
        <f t="shared" si="0"/>
        <v>92.084000000000003</v>
      </c>
      <c r="N5" t="str">
        <f t="shared" si="1"/>
        <v>Excel</v>
      </c>
      <c r="O5" t="str">
        <f t="shared" si="2"/>
        <v>Light</v>
      </c>
      <c r="P5" t="str">
        <f>_xlfn.XLOOKUP([3]Customers!A5,[3]Customers!$A$1:$A$100,[3]Customers!$I$1:$I$100,,0)</f>
        <v>Yes</v>
      </c>
    </row>
    <row r="6" spans="1:16" x14ac:dyDescent="0.3">
      <c r="A6" t="s">
        <v>29</v>
      </c>
      <c r="B6" s="2">
        <v>45355</v>
      </c>
      <c r="C6" t="s">
        <v>53</v>
      </c>
      <c r="D6" t="s">
        <v>27</v>
      </c>
      <c r="E6">
        <v>5</v>
      </c>
      <c r="F6" t="s">
        <v>251</v>
      </c>
      <c r="G6" t="str">
        <f>IF(_xlfn.XLOOKUP(C6,[1]Customers!$A$1:$A$100,[1]Customers!$C$1:$C$100,,0)=0,"",_xlfn.XLOOKUP(C6,[1]Customers!$A$1:$A$100,[1]Customers!$C$1:$C$100,,0))</f>
        <v>customer@dummy.com</v>
      </c>
      <c r="H6" t="str">
        <f>_xlfn.XLOOKUP(C6,[1]Customers!$A$1:$A$100,[1]Customers!$G$1:$G$100,,0)</f>
        <v>UK</v>
      </c>
      <c r="I6" t="str">
        <f>_xlfn.XLOOKUP(D6,[2]Products!$A$1:$A$100,[2]Products!$B$1:$B$100,,0)</f>
        <v>Excelsa</v>
      </c>
      <c r="J6" t="str">
        <f>_xlfn.XLOOKUP(D6,[2]Products!$A$1:$A$100,[2]Products!$C$1:$C$100,,0)</f>
        <v>L</v>
      </c>
      <c r="K6">
        <f>_xlfn.XLOOKUP(D6,[2]Products!$A$1:$A$100,[2]Products!$D$1:$D$100,,0)</f>
        <v>1</v>
      </c>
      <c r="L6">
        <f>_xlfn.XLOOKUP(D6,[2]Products!$A$1:$A$100,[2]Products!$E$1:$E$100,,0)</f>
        <v>23.021000000000001</v>
      </c>
      <c r="M6">
        <f t="shared" si="0"/>
        <v>115.105</v>
      </c>
      <c r="N6" t="str">
        <f t="shared" si="1"/>
        <v>Excel</v>
      </c>
      <c r="O6" t="str">
        <f t="shared" si="2"/>
        <v>Light</v>
      </c>
      <c r="P6" t="str">
        <f>_xlfn.XLOOKUP([3]Customers!A6,[3]Customers!$A$1:$A$100,[3]Customers!$I$1:$I$100,,0)</f>
        <v>No</v>
      </c>
    </row>
    <row r="7" spans="1:16" x14ac:dyDescent="0.3">
      <c r="A7" t="s">
        <v>31</v>
      </c>
      <c r="B7" s="2">
        <v>45032</v>
      </c>
      <c r="C7" t="s">
        <v>104</v>
      </c>
      <c r="D7" t="s">
        <v>23</v>
      </c>
      <c r="E7">
        <v>3</v>
      </c>
      <c r="F7" t="s">
        <v>20</v>
      </c>
      <c r="G7" t="str">
        <f>IF(_xlfn.XLOOKUP(C7,[1]Customers!$A$1:$A$100,[1]Customers!$C$1:$C$100,,0)=0,"",_xlfn.XLOOKUP(C7,[1]Customers!$A$1:$A$100,[1]Customers!$C$1:$C$100,,0))</f>
        <v>customer@dummy.com</v>
      </c>
      <c r="H7" t="str">
        <f>_xlfn.XLOOKUP(C7,[1]Customers!$A$1:$A$100,[1]Customers!$G$1:$G$100,,0)</f>
        <v>Canada</v>
      </c>
      <c r="I7" t="str">
        <f>_xlfn.XLOOKUP(D7,[2]Products!$A$1:$A$100,[2]Products!$B$1:$B$100,,0)</f>
        <v>Liberica</v>
      </c>
      <c r="J7" t="str">
        <f>_xlfn.XLOOKUP(D7,[2]Products!$A$1:$A$100,[2]Products!$C$1:$C$100,,0)</f>
        <v>L</v>
      </c>
      <c r="K7">
        <f>_xlfn.XLOOKUP(D7,[2]Products!$A$1:$A$100,[2]Products!$D$1:$D$100,,0)</f>
        <v>0.5</v>
      </c>
      <c r="L7">
        <f>_xlfn.XLOOKUP(D7,[2]Products!$A$1:$A$100,[2]Products!$E$1:$E$100,,0)</f>
        <v>11.098000000000001</v>
      </c>
      <c r="M7">
        <f t="shared" si="0"/>
        <v>33.294000000000004</v>
      </c>
      <c r="N7" t="str">
        <f t="shared" si="1"/>
        <v>Lib</v>
      </c>
      <c r="O7" t="str">
        <f t="shared" si="2"/>
        <v>Light</v>
      </c>
      <c r="P7" t="str">
        <f>_xlfn.XLOOKUP([3]Customers!A7,[3]Customers!$A$1:$A$100,[3]Customers!$I$1:$I$100,,0)</f>
        <v>No</v>
      </c>
    </row>
    <row r="8" spans="1:16" x14ac:dyDescent="0.3">
      <c r="A8" t="s">
        <v>32</v>
      </c>
      <c r="B8" s="2">
        <v>44512</v>
      </c>
      <c r="C8" t="s">
        <v>48</v>
      </c>
      <c r="D8" t="s">
        <v>34</v>
      </c>
      <c r="E8">
        <v>2</v>
      </c>
      <c r="F8" t="s">
        <v>249</v>
      </c>
      <c r="G8" t="str">
        <f>IF(_xlfn.XLOOKUP(C8,[1]Customers!$A$1:$A$100,[1]Customers!$C$1:$C$100,,0)=0,"",_xlfn.XLOOKUP(C8,[1]Customers!$A$1:$A$100,[1]Customers!$C$1:$C$100,,0))</f>
        <v>customer@dummy.com</v>
      </c>
      <c r="H8" t="str">
        <f>_xlfn.XLOOKUP(C8,[1]Customers!$A$1:$A$100,[1]Customers!$G$1:$G$100,,0)</f>
        <v>Germany</v>
      </c>
      <c r="I8" t="str">
        <f>_xlfn.XLOOKUP(D8,[2]Products!$A$1:$A$100,[2]Products!$B$1:$B$100,,0)</f>
        <v>Excelsa</v>
      </c>
      <c r="J8" t="str">
        <f>_xlfn.XLOOKUP(D8,[2]Products!$A$1:$A$100,[2]Products!$C$1:$C$100,,0)</f>
        <v>L</v>
      </c>
      <c r="K8">
        <f>_xlfn.XLOOKUP(D8,[2]Products!$A$1:$A$100,[2]Products!$D$1:$D$100,,0)</f>
        <v>0.5</v>
      </c>
      <c r="L8">
        <f>_xlfn.XLOOKUP(D8,[2]Products!$A$1:$A$100,[2]Products!$E$1:$E$100,,0)</f>
        <v>19.291</v>
      </c>
      <c r="M8">
        <f t="shared" si="0"/>
        <v>38.582000000000001</v>
      </c>
      <c r="N8" t="str">
        <f t="shared" si="1"/>
        <v>Excel</v>
      </c>
      <c r="O8" t="str">
        <f t="shared" si="2"/>
        <v>Light</v>
      </c>
      <c r="P8" t="str">
        <f>_xlfn.XLOOKUP([3]Customers!A8,[3]Customers!$A$1:$A$100,[3]Customers!$I$1:$I$100,,0)</f>
        <v>No</v>
      </c>
    </row>
    <row r="9" spans="1:16" x14ac:dyDescent="0.3">
      <c r="A9" t="s">
        <v>36</v>
      </c>
      <c r="B9" s="2">
        <v>44643</v>
      </c>
      <c r="C9" t="s">
        <v>132</v>
      </c>
      <c r="D9" t="s">
        <v>38</v>
      </c>
      <c r="E9">
        <v>2</v>
      </c>
      <c r="F9" t="s">
        <v>42</v>
      </c>
      <c r="G9" t="str">
        <f>IF(_xlfn.XLOOKUP(C9,[1]Customers!$A$1:$A$100,[1]Customers!$C$1:$C$100,,0)=0,"",_xlfn.XLOOKUP(C9,[1]Customers!$A$1:$A$100,[1]Customers!$C$1:$C$100,,0))</f>
        <v>customer@dummy.com</v>
      </c>
      <c r="H9" t="str">
        <f>_xlfn.XLOOKUP(C9,[1]Customers!$A$1:$A$100,[1]Customers!$G$1:$G$100,,0)</f>
        <v>USA</v>
      </c>
      <c r="I9" t="str">
        <f>_xlfn.XLOOKUP(D9,[2]Products!$A$1:$A$100,[2]Products!$B$1:$B$100,,0)</f>
        <v>Excelsa</v>
      </c>
      <c r="J9" t="str">
        <f>_xlfn.XLOOKUP(D9,[2]Products!$A$1:$A$100,[2]Products!$C$1:$C$100,,0)</f>
        <v>L</v>
      </c>
      <c r="K9">
        <f>_xlfn.XLOOKUP(D9,[2]Products!$A$1:$A$100,[2]Products!$D$1:$D$100,,0)</f>
        <v>2.5</v>
      </c>
      <c r="L9">
        <f>_xlfn.XLOOKUP(D9,[2]Products!$A$1:$A$100,[2]Products!$E$1:$E$100,,0)</f>
        <v>77.019000000000005</v>
      </c>
      <c r="M9">
        <f t="shared" si="0"/>
        <v>154.03800000000001</v>
      </c>
      <c r="N9" t="str">
        <f t="shared" si="1"/>
        <v>Excel</v>
      </c>
      <c r="O9" t="str">
        <f t="shared" si="2"/>
        <v>Light</v>
      </c>
      <c r="P9" t="str">
        <f>_xlfn.XLOOKUP([3]Customers!A9,[3]Customers!$A$1:$A$100,[3]Customers!$I$1:$I$100,,0)</f>
        <v>Yes</v>
      </c>
    </row>
    <row r="10" spans="1:16" x14ac:dyDescent="0.3">
      <c r="A10" t="s">
        <v>39</v>
      </c>
      <c r="B10" s="2">
        <v>44905</v>
      </c>
      <c r="C10" t="s">
        <v>37</v>
      </c>
      <c r="D10" t="s">
        <v>41</v>
      </c>
      <c r="E10">
        <v>5</v>
      </c>
      <c r="F10" t="s">
        <v>107</v>
      </c>
      <c r="G10" t="str">
        <f>IF(_xlfn.XLOOKUP(C10,[1]Customers!$A$1:$A$100,[1]Customers!$C$1:$C$100,,0)=0,"",_xlfn.XLOOKUP(C10,[1]Customers!$A$1:$A$100,[1]Customers!$C$1:$C$100,,0))</f>
        <v>customer@dummy.com</v>
      </c>
      <c r="H10" t="str">
        <f>_xlfn.XLOOKUP(C10,[1]Customers!$A$1:$A$100,[1]Customers!$G$1:$G$100,,0)</f>
        <v>Canada</v>
      </c>
      <c r="I10" t="str">
        <f>_xlfn.XLOOKUP(D10,[2]Products!$A$1:$A$100,[2]Products!$B$1:$B$100,,0)</f>
        <v>Arabica</v>
      </c>
      <c r="J10" t="str">
        <f>_xlfn.XLOOKUP(D10,[2]Products!$A$1:$A$100,[2]Products!$C$1:$C$100,,0)</f>
        <v>D</v>
      </c>
      <c r="K10">
        <f>_xlfn.XLOOKUP(D10,[2]Products!$A$1:$A$100,[2]Products!$D$1:$D$100,,0)</f>
        <v>2.5</v>
      </c>
      <c r="L10">
        <f>_xlfn.XLOOKUP(D10,[2]Products!$A$1:$A$100,[2]Products!$E$1:$E$100,,0)</f>
        <v>93.278999999999996</v>
      </c>
      <c r="M10">
        <f t="shared" si="0"/>
        <v>466.39499999999998</v>
      </c>
      <c r="N10" t="str">
        <f t="shared" si="1"/>
        <v>Ara</v>
      </c>
      <c r="O10" t="str">
        <f t="shared" si="2"/>
        <v>Dark</v>
      </c>
      <c r="P10" t="str">
        <f>_xlfn.XLOOKUP([3]Customers!A10,[3]Customers!$A$1:$A$100,[3]Customers!$I$1:$I$100,,0)</f>
        <v>Yes</v>
      </c>
    </row>
    <row r="11" spans="1:16" x14ac:dyDescent="0.3">
      <c r="A11" t="s">
        <v>43</v>
      </c>
      <c r="B11" s="2">
        <v>43667</v>
      </c>
      <c r="C11" t="s">
        <v>129</v>
      </c>
      <c r="D11" t="s">
        <v>45</v>
      </c>
      <c r="E11">
        <v>2</v>
      </c>
      <c r="F11" t="s">
        <v>252</v>
      </c>
      <c r="G11" t="str">
        <f>IF(_xlfn.XLOOKUP(C11,[1]Customers!$A$1:$A$100,[1]Customers!$C$1:$C$100,,0)=0,"",_xlfn.XLOOKUP(C11,[1]Customers!$A$1:$A$100,[1]Customers!$C$1:$C$100,,0))</f>
        <v>customer@dummy.com</v>
      </c>
      <c r="H11" t="str">
        <f>_xlfn.XLOOKUP(C11,[1]Customers!$A$1:$A$100,[1]Customers!$G$1:$G$100,,0)</f>
        <v>Australia</v>
      </c>
      <c r="I11" t="str">
        <f>_xlfn.XLOOKUP(D11,[2]Products!$A$1:$A$100,[2]Products!$B$1:$B$100,,0)</f>
        <v>Arabica</v>
      </c>
      <c r="J11" t="str">
        <f>_xlfn.XLOOKUP(D11,[2]Products!$A$1:$A$100,[2]Products!$C$1:$C$100,,0)</f>
        <v>M</v>
      </c>
      <c r="K11">
        <f>_xlfn.XLOOKUP(D11,[2]Products!$A$1:$A$100,[2]Products!$D$1:$D$100,,0)</f>
        <v>1</v>
      </c>
      <c r="L11">
        <f>_xlfn.XLOOKUP(D11,[2]Products!$A$1:$A$100,[2]Products!$E$1:$E$100,,0)</f>
        <v>30.213999999999999</v>
      </c>
      <c r="M11">
        <f t="shared" si="0"/>
        <v>60.427999999999997</v>
      </c>
      <c r="N11" t="str">
        <f t="shared" si="1"/>
        <v>Ara</v>
      </c>
      <c r="O11" t="str">
        <f t="shared" si="2"/>
        <v>Medium</v>
      </c>
      <c r="P11" t="str">
        <f>_xlfn.XLOOKUP([3]Customers!A11,[3]Customers!$A$1:$A$100,[3]Customers!$I$1:$I$100,,0)</f>
        <v>Yes</v>
      </c>
    </row>
    <row r="12" spans="1:16" x14ac:dyDescent="0.3">
      <c r="A12" t="s">
        <v>47</v>
      </c>
      <c r="B12" s="2">
        <v>44438</v>
      </c>
      <c r="C12" t="s">
        <v>216</v>
      </c>
      <c r="D12" t="s">
        <v>41</v>
      </c>
      <c r="E12">
        <v>1</v>
      </c>
      <c r="F12" t="s">
        <v>253</v>
      </c>
      <c r="G12" t="str">
        <f>IF(_xlfn.XLOOKUP(C12,[1]Customers!$A$1:$A$100,[1]Customers!$C$1:$C$100,,0)=0,"",_xlfn.XLOOKUP(C12,[1]Customers!$A$1:$A$100,[1]Customers!$C$1:$C$100,,0))</f>
        <v>customer@dummy.com</v>
      </c>
      <c r="H12" t="str">
        <f>_xlfn.XLOOKUP(C12,[1]Customers!$A$1:$A$100,[1]Customers!$G$1:$G$100,,0)</f>
        <v>USA</v>
      </c>
      <c r="I12" t="str">
        <f>_xlfn.XLOOKUP(D12,[2]Products!$A$1:$A$100,[2]Products!$B$1:$B$100,,0)</f>
        <v>Arabica</v>
      </c>
      <c r="J12" t="str">
        <f>_xlfn.XLOOKUP(D12,[2]Products!$A$1:$A$100,[2]Products!$C$1:$C$100,,0)</f>
        <v>D</v>
      </c>
      <c r="K12">
        <f>_xlfn.XLOOKUP(D12,[2]Products!$A$1:$A$100,[2]Products!$D$1:$D$100,,0)</f>
        <v>2.5</v>
      </c>
      <c r="L12">
        <f>_xlfn.XLOOKUP(D12,[2]Products!$A$1:$A$100,[2]Products!$E$1:$E$100,,0)</f>
        <v>93.278999999999996</v>
      </c>
      <c r="M12">
        <f t="shared" si="0"/>
        <v>93.278999999999996</v>
      </c>
      <c r="N12" t="str">
        <f t="shared" si="1"/>
        <v>Ara</v>
      </c>
      <c r="O12" t="str">
        <f t="shared" si="2"/>
        <v>Dark</v>
      </c>
      <c r="P12" t="str">
        <f>_xlfn.XLOOKUP([3]Customers!A12,[3]Customers!$A$1:$A$100,[3]Customers!$I$1:$I$100,,0)</f>
        <v>No</v>
      </c>
    </row>
    <row r="13" spans="1:16" x14ac:dyDescent="0.3">
      <c r="A13" t="s">
        <v>49</v>
      </c>
      <c r="B13" s="2">
        <v>44865</v>
      </c>
      <c r="C13" t="s">
        <v>109</v>
      </c>
      <c r="D13" t="s">
        <v>51</v>
      </c>
      <c r="E13">
        <v>6</v>
      </c>
      <c r="F13" t="s">
        <v>251</v>
      </c>
      <c r="G13" t="str">
        <f>IF(_xlfn.XLOOKUP(C13,[1]Customers!$A$1:$A$100,[1]Customers!$C$1:$C$100,,0)=0,"",_xlfn.XLOOKUP(C13,[1]Customers!$A$1:$A$100,[1]Customers!$C$1:$C$100,,0))</f>
        <v/>
      </c>
      <c r="H13" t="str">
        <f>_xlfn.XLOOKUP(C13,[1]Customers!$A$1:$A$100,[1]Customers!$G$1:$G$100,,0)</f>
        <v>USA</v>
      </c>
      <c r="I13" t="str">
        <f>_xlfn.XLOOKUP(D13,[2]Products!$A$1:$A$100,[2]Products!$B$1:$B$100,,0)</f>
        <v>Robusta</v>
      </c>
      <c r="J13" t="str">
        <f>_xlfn.XLOOKUP(D13,[2]Products!$A$1:$A$100,[2]Products!$C$1:$C$100,,0)</f>
        <v>M</v>
      </c>
      <c r="K13">
        <f>_xlfn.XLOOKUP(D13,[2]Products!$A$1:$A$100,[2]Products!$D$1:$D$100,,0)</f>
        <v>1</v>
      </c>
      <c r="L13">
        <f>_xlfn.XLOOKUP(D13,[2]Products!$A$1:$A$100,[2]Products!$E$1:$E$100,,0)</f>
        <v>38.543999999999997</v>
      </c>
      <c r="M13">
        <f t="shared" si="0"/>
        <v>231.26399999999998</v>
      </c>
      <c r="N13" t="str">
        <f t="shared" si="1"/>
        <v>Rob</v>
      </c>
      <c r="O13" t="str">
        <f t="shared" si="2"/>
        <v>Medium</v>
      </c>
      <c r="P13" t="str">
        <f>_xlfn.XLOOKUP([3]Customers!A13,[3]Customers!$A$1:$A$100,[3]Customers!$I$1:$I$100,,0)</f>
        <v>No</v>
      </c>
    </row>
    <row r="14" spans="1:16" x14ac:dyDescent="0.3">
      <c r="A14" t="s">
        <v>52</v>
      </c>
      <c r="B14" s="2">
        <v>44212</v>
      </c>
      <c r="C14" t="s">
        <v>69</v>
      </c>
      <c r="D14" t="s">
        <v>45</v>
      </c>
      <c r="E14">
        <v>2</v>
      </c>
      <c r="F14" t="s">
        <v>110</v>
      </c>
      <c r="G14" t="str">
        <f>IF(_xlfn.XLOOKUP(C14,[1]Customers!$A$1:$A$100,[1]Customers!$C$1:$C$100,,0)=0,"",_xlfn.XLOOKUP(C14,[1]Customers!$A$1:$A$100,[1]Customers!$C$1:$C$100,,0))</f>
        <v>customer@dummy.com</v>
      </c>
      <c r="H14" t="str">
        <f>_xlfn.XLOOKUP(C14,[1]Customers!$A$1:$A$100,[1]Customers!$G$1:$G$100,,0)</f>
        <v>India</v>
      </c>
      <c r="I14" t="str">
        <f>_xlfn.XLOOKUP(D14,[2]Products!$A$1:$A$100,[2]Products!$B$1:$B$100,,0)</f>
        <v>Arabica</v>
      </c>
      <c r="J14" t="str">
        <f>_xlfn.XLOOKUP(D14,[2]Products!$A$1:$A$100,[2]Products!$C$1:$C$100,,0)</f>
        <v>M</v>
      </c>
      <c r="K14">
        <f>_xlfn.XLOOKUP(D14,[2]Products!$A$1:$A$100,[2]Products!$D$1:$D$100,,0)</f>
        <v>1</v>
      </c>
      <c r="L14">
        <f>_xlfn.XLOOKUP(D14,[2]Products!$A$1:$A$100,[2]Products!$E$1:$E$100,,0)</f>
        <v>30.213999999999999</v>
      </c>
      <c r="M14">
        <f t="shared" si="0"/>
        <v>60.427999999999997</v>
      </c>
      <c r="N14" t="str">
        <f t="shared" si="1"/>
        <v>Ara</v>
      </c>
      <c r="O14" t="str">
        <f t="shared" si="2"/>
        <v>Medium</v>
      </c>
      <c r="P14" t="str">
        <f>_xlfn.XLOOKUP([3]Customers!A14,[3]Customers!$A$1:$A$100,[3]Customers!$I$1:$I$100,,0)</f>
        <v>No</v>
      </c>
    </row>
    <row r="15" spans="1:16" x14ac:dyDescent="0.3">
      <c r="A15" t="s">
        <v>54</v>
      </c>
      <c r="B15" s="2">
        <v>44326</v>
      </c>
      <c r="C15" t="s">
        <v>62</v>
      </c>
      <c r="D15" t="s">
        <v>56</v>
      </c>
      <c r="E15">
        <v>3</v>
      </c>
      <c r="F15" t="s">
        <v>64</v>
      </c>
      <c r="G15" t="str">
        <f>IF(_xlfn.XLOOKUP(C15,[1]Customers!$A$1:$A$100,[1]Customers!$C$1:$C$100,,0)=0,"",_xlfn.XLOOKUP(C15,[1]Customers!$A$1:$A$100,[1]Customers!$C$1:$C$100,,0))</f>
        <v>customer@dummy.com</v>
      </c>
      <c r="H15" t="str">
        <f>_xlfn.XLOOKUP(C15,[1]Customers!$A$1:$A$100,[1]Customers!$G$1:$G$100,,0)</f>
        <v>USA</v>
      </c>
      <c r="I15" t="str">
        <f>_xlfn.XLOOKUP(D15,[2]Products!$A$1:$A$100,[2]Products!$B$1:$B$100,,0)</f>
        <v>Robusta</v>
      </c>
      <c r="J15" t="str">
        <f>_xlfn.XLOOKUP(D15,[2]Products!$A$1:$A$100,[2]Products!$C$1:$C$100,,0)</f>
        <v>D</v>
      </c>
      <c r="K15">
        <f>_xlfn.XLOOKUP(D15,[2]Products!$A$1:$A$100,[2]Products!$D$1:$D$100,,0)</f>
        <v>2.5</v>
      </c>
      <c r="L15">
        <f>_xlfn.XLOOKUP(D15,[2]Products!$A$1:$A$100,[2]Products!$E$1:$E$100,,0)</f>
        <v>80.451999999999998</v>
      </c>
      <c r="M15">
        <f t="shared" si="0"/>
        <v>241.35599999999999</v>
      </c>
      <c r="N15" t="str">
        <f t="shared" si="1"/>
        <v>Rob</v>
      </c>
      <c r="O15" t="str">
        <f t="shared" si="2"/>
        <v>Dark</v>
      </c>
      <c r="P15" t="str">
        <f>_xlfn.XLOOKUP([3]Customers!A15,[3]Customers!$A$1:$A$100,[3]Customers!$I$1:$I$100,,0)</f>
        <v>Yes</v>
      </c>
    </row>
    <row r="16" spans="1:16" x14ac:dyDescent="0.3">
      <c r="A16" t="s">
        <v>57</v>
      </c>
      <c r="B16" s="2">
        <v>43645</v>
      </c>
      <c r="C16" t="s">
        <v>217</v>
      </c>
      <c r="D16" t="s">
        <v>59</v>
      </c>
      <c r="E16">
        <v>5</v>
      </c>
      <c r="F16" t="s">
        <v>46</v>
      </c>
      <c r="G16" t="str">
        <f>IF(_xlfn.XLOOKUP(C16,[1]Customers!$A$1:$A$100,[1]Customers!$C$1:$C$100,,0)=0,"",_xlfn.XLOOKUP(C16,[1]Customers!$A$1:$A$100,[1]Customers!$C$1:$C$100,,0))</f>
        <v>customer@dummy.com</v>
      </c>
      <c r="H16" t="str">
        <f>_xlfn.XLOOKUP(C16,[1]Customers!$A$1:$A$100,[1]Customers!$G$1:$G$100,,0)</f>
        <v>Australia</v>
      </c>
      <c r="I16" t="str">
        <f>_xlfn.XLOOKUP(D16,[2]Products!$A$1:$A$100,[2]Products!$B$1:$B$100,,0)</f>
        <v>Robusta</v>
      </c>
      <c r="J16" t="str">
        <f>_xlfn.XLOOKUP(D16,[2]Products!$A$1:$A$100,[2]Products!$C$1:$C$100,,0)</f>
        <v>L</v>
      </c>
      <c r="K16">
        <f>_xlfn.XLOOKUP(D16,[2]Products!$A$1:$A$100,[2]Products!$D$1:$D$100,,0)</f>
        <v>0.5</v>
      </c>
      <c r="L16">
        <f>_xlfn.XLOOKUP(D16,[2]Products!$A$1:$A$100,[2]Products!$E$1:$E$100,,0)</f>
        <v>16.89</v>
      </c>
      <c r="M16">
        <f t="shared" si="0"/>
        <v>84.45</v>
      </c>
      <c r="N16" t="str">
        <f t="shared" si="1"/>
        <v>Rob</v>
      </c>
      <c r="O16" t="str">
        <f t="shared" si="2"/>
        <v>Light</v>
      </c>
      <c r="P16" t="str">
        <f>_xlfn.XLOOKUP([3]Customers!A16,[3]Customers!$A$1:$A$100,[3]Customers!$I$1:$I$100,,0)</f>
        <v>No</v>
      </c>
    </row>
    <row r="17" spans="1:16" x14ac:dyDescent="0.3">
      <c r="A17" t="s">
        <v>61</v>
      </c>
      <c r="B17" s="2">
        <v>43601</v>
      </c>
      <c r="C17" t="s">
        <v>80</v>
      </c>
      <c r="D17" t="s">
        <v>63</v>
      </c>
      <c r="E17">
        <v>5</v>
      </c>
      <c r="F17" t="s">
        <v>254</v>
      </c>
      <c r="G17" t="str">
        <f>IF(_xlfn.XLOOKUP(C17,[1]Customers!$A$1:$A$100,[1]Customers!$C$1:$C$100,,0)=0,"",_xlfn.XLOOKUP(C17,[1]Customers!$A$1:$A$100,[1]Customers!$C$1:$C$100,,0))</f>
        <v>customer@dummy.com</v>
      </c>
      <c r="H17" t="str">
        <f>_xlfn.XLOOKUP(C17,[1]Customers!$A$1:$A$100,[1]Customers!$G$1:$G$100,,0)</f>
        <v>Germany</v>
      </c>
      <c r="I17" t="str">
        <f>_xlfn.XLOOKUP(D17,[2]Products!$A$1:$A$100,[2]Products!$B$1:$B$100,,0)</f>
        <v>Arabica</v>
      </c>
      <c r="J17" t="str">
        <f>_xlfn.XLOOKUP(D17,[2]Products!$A$1:$A$100,[2]Products!$C$1:$C$100,,0)</f>
        <v>L</v>
      </c>
      <c r="K17">
        <f>_xlfn.XLOOKUP(D17,[2]Products!$A$1:$A$100,[2]Products!$D$1:$D$100,,0)</f>
        <v>2.5</v>
      </c>
      <c r="L17">
        <f>_xlfn.XLOOKUP(D17,[2]Products!$A$1:$A$100,[2]Products!$E$1:$E$100,,0)</f>
        <v>61.25</v>
      </c>
      <c r="M17">
        <f t="shared" si="0"/>
        <v>306.25</v>
      </c>
      <c r="N17" t="str">
        <f t="shared" si="1"/>
        <v>Ara</v>
      </c>
      <c r="O17" t="str">
        <f t="shared" si="2"/>
        <v>Light</v>
      </c>
      <c r="P17" t="str">
        <f>_xlfn.XLOOKUP([3]Customers!A17,[3]Customers!$A$1:$A$100,[3]Customers!$I$1:$I$100,,0)</f>
        <v>No</v>
      </c>
    </row>
    <row r="18" spans="1:16" x14ac:dyDescent="0.3">
      <c r="A18" t="s">
        <v>65</v>
      </c>
      <c r="B18" s="2">
        <v>45180</v>
      </c>
      <c r="C18" t="s">
        <v>136</v>
      </c>
      <c r="D18" t="s">
        <v>67</v>
      </c>
      <c r="E18">
        <v>3</v>
      </c>
      <c r="F18" t="s">
        <v>90</v>
      </c>
      <c r="G18" t="str">
        <f>IF(_xlfn.XLOOKUP(C18,[1]Customers!$A$1:$A$100,[1]Customers!$C$1:$C$100,,0)=0,"",_xlfn.XLOOKUP(C18,[1]Customers!$A$1:$A$100,[1]Customers!$C$1:$C$100,,0))</f>
        <v/>
      </c>
      <c r="H18" t="str">
        <f>_xlfn.XLOOKUP(C18,[1]Customers!$A$1:$A$100,[1]Customers!$G$1:$G$100,,0)</f>
        <v>UK</v>
      </c>
      <c r="I18" t="str">
        <f>_xlfn.XLOOKUP(D18,[2]Products!$A$1:$A$100,[2]Products!$B$1:$B$100,,0)</f>
        <v>Arabica</v>
      </c>
      <c r="J18" t="str">
        <f>_xlfn.XLOOKUP(D18,[2]Products!$A$1:$A$100,[2]Products!$C$1:$C$100,,0)</f>
        <v>D</v>
      </c>
      <c r="K18">
        <f>_xlfn.XLOOKUP(D18,[2]Products!$A$1:$A$100,[2]Products!$D$1:$D$100,,0)</f>
        <v>2.5</v>
      </c>
      <c r="L18">
        <f>_xlfn.XLOOKUP(D18,[2]Products!$A$1:$A$100,[2]Products!$E$1:$E$100,,0)</f>
        <v>80.778000000000006</v>
      </c>
      <c r="M18">
        <f t="shared" si="0"/>
        <v>242.334</v>
      </c>
      <c r="N18" t="str">
        <f t="shared" si="1"/>
        <v>Ara</v>
      </c>
      <c r="O18" t="str">
        <f t="shared" si="2"/>
        <v>Dark</v>
      </c>
      <c r="P18" t="str">
        <f>_xlfn.XLOOKUP([3]Customers!A18,[3]Customers!$A$1:$A$100,[3]Customers!$I$1:$I$100,,0)</f>
        <v>Yes</v>
      </c>
    </row>
    <row r="19" spans="1:16" x14ac:dyDescent="0.3">
      <c r="A19" t="s">
        <v>68</v>
      </c>
      <c r="B19" s="2">
        <v>43735</v>
      </c>
      <c r="C19" t="s">
        <v>30</v>
      </c>
      <c r="D19" t="s">
        <v>70</v>
      </c>
      <c r="E19">
        <v>3</v>
      </c>
      <c r="F19" t="s">
        <v>75</v>
      </c>
      <c r="G19" t="str">
        <f>IF(_xlfn.XLOOKUP(C19,[1]Customers!$A$1:$A$100,[1]Customers!$C$1:$C$100,,0)=0,"",_xlfn.XLOOKUP(C19,[1]Customers!$A$1:$A$100,[1]Customers!$C$1:$C$100,,0))</f>
        <v>customer@dummy.com</v>
      </c>
      <c r="H19" t="str">
        <f>_xlfn.XLOOKUP(C19,[1]Customers!$A$1:$A$100,[1]Customers!$G$1:$G$100,,0)</f>
        <v>Canada</v>
      </c>
      <c r="I19" t="str">
        <f>_xlfn.XLOOKUP(D19,[2]Products!$A$1:$A$100,[2]Products!$B$1:$B$100,,0)</f>
        <v>Excelsa</v>
      </c>
      <c r="J19" t="str">
        <f>_xlfn.XLOOKUP(D19,[2]Products!$A$1:$A$100,[2]Products!$C$1:$C$100,,0)</f>
        <v>M</v>
      </c>
      <c r="K19">
        <f>_xlfn.XLOOKUP(D19,[2]Products!$A$1:$A$100,[2]Products!$D$1:$D$100,,0)</f>
        <v>2.5</v>
      </c>
      <c r="L19">
        <f>_xlfn.XLOOKUP(D19,[2]Products!$A$1:$A$100,[2]Products!$E$1:$E$100,,0)</f>
        <v>88.546999999999997</v>
      </c>
      <c r="M19">
        <f t="shared" si="0"/>
        <v>265.64099999999996</v>
      </c>
      <c r="N19" t="str">
        <f t="shared" si="1"/>
        <v>Excel</v>
      </c>
      <c r="O19" t="str">
        <f t="shared" si="2"/>
        <v>Medium</v>
      </c>
      <c r="P19" t="str">
        <f>_xlfn.XLOOKUP([3]Customers!A19,[3]Customers!$A$1:$A$100,[3]Customers!$I$1:$I$100,,0)</f>
        <v>Yes</v>
      </c>
    </row>
    <row r="20" spans="1:16" x14ac:dyDescent="0.3">
      <c r="A20" t="s">
        <v>72</v>
      </c>
      <c r="B20" s="2">
        <v>43942</v>
      </c>
      <c r="C20" t="s">
        <v>218</v>
      </c>
      <c r="D20" t="s">
        <v>74</v>
      </c>
      <c r="E20">
        <v>2</v>
      </c>
      <c r="F20" t="s">
        <v>250</v>
      </c>
      <c r="G20" t="str">
        <f>IF(_xlfn.XLOOKUP(C20,[1]Customers!$A$1:$A$100,[1]Customers!$C$1:$C$100,,0)=0,"",_xlfn.XLOOKUP(C20,[1]Customers!$A$1:$A$100,[1]Customers!$C$1:$C$100,,0))</f>
        <v>customer@dummy.com</v>
      </c>
      <c r="H20" t="str">
        <f>_xlfn.XLOOKUP(C20,[1]Customers!$A$1:$A$100,[1]Customers!$G$1:$G$100,,0)</f>
        <v>Australia</v>
      </c>
      <c r="I20" t="str">
        <f>_xlfn.XLOOKUP(D20,[2]Products!$A$1:$A$100,[2]Products!$B$1:$B$100,,0)</f>
        <v>Excelsa</v>
      </c>
      <c r="J20" t="str">
        <f>_xlfn.XLOOKUP(D20,[2]Products!$A$1:$A$100,[2]Products!$C$1:$C$100,,0)</f>
        <v>L</v>
      </c>
      <c r="K20">
        <f>_xlfn.XLOOKUP(D20,[2]Products!$A$1:$A$100,[2]Products!$D$1:$D$100,,0)</f>
        <v>0.2</v>
      </c>
      <c r="L20">
        <f>_xlfn.XLOOKUP(D20,[2]Products!$A$1:$A$100,[2]Products!$E$1:$E$100,,0)</f>
        <v>6.1980000000000004</v>
      </c>
      <c r="M20">
        <f t="shared" si="0"/>
        <v>12.396000000000001</v>
      </c>
      <c r="N20" t="str">
        <f t="shared" si="1"/>
        <v>Excel</v>
      </c>
      <c r="O20" t="str">
        <f t="shared" si="2"/>
        <v>Light</v>
      </c>
      <c r="P20" t="str">
        <f>_xlfn.XLOOKUP([3]Customers!A20,[3]Customers!$A$1:$A$100,[3]Customers!$I$1:$I$100,,0)</f>
        <v>No</v>
      </c>
    </row>
    <row r="21" spans="1:16" x14ac:dyDescent="0.3">
      <c r="A21" t="s">
        <v>76</v>
      </c>
      <c r="B21" s="2">
        <v>43731</v>
      </c>
      <c r="C21" t="s">
        <v>172</v>
      </c>
      <c r="D21" t="s">
        <v>78</v>
      </c>
      <c r="E21">
        <v>2</v>
      </c>
      <c r="F21" t="s">
        <v>75</v>
      </c>
      <c r="G21" t="str">
        <f>IF(_xlfn.XLOOKUP(C21,[1]Customers!$A$1:$A$100,[1]Customers!$C$1:$C$100,,0)=0,"",_xlfn.XLOOKUP(C21,[1]Customers!$A$1:$A$100,[1]Customers!$C$1:$C$100,,0))</f>
        <v>customer@dummy.com</v>
      </c>
      <c r="H21" t="str">
        <f>_xlfn.XLOOKUP(C21,[1]Customers!$A$1:$A$100,[1]Customers!$G$1:$G$100,,0)</f>
        <v>USA</v>
      </c>
      <c r="I21" t="str">
        <f>_xlfn.XLOOKUP(D21,[2]Products!$A$1:$A$100,[2]Products!$B$1:$B$100,,0)</f>
        <v>Excelsa</v>
      </c>
      <c r="J21" t="str">
        <f>_xlfn.XLOOKUP(D21,[2]Products!$A$1:$A$100,[2]Products!$C$1:$C$100,,0)</f>
        <v>D</v>
      </c>
      <c r="K21">
        <f>_xlfn.XLOOKUP(D21,[2]Products!$A$1:$A$100,[2]Products!$D$1:$D$100,,0)</f>
        <v>0.5</v>
      </c>
      <c r="L21">
        <f>_xlfn.XLOOKUP(D21,[2]Products!$A$1:$A$100,[2]Products!$E$1:$E$100,,0)</f>
        <v>18.209</v>
      </c>
      <c r="M21">
        <f t="shared" si="0"/>
        <v>36.417999999999999</v>
      </c>
      <c r="N21" t="str">
        <f t="shared" si="1"/>
        <v>Excel</v>
      </c>
      <c r="O21" t="str">
        <f t="shared" si="2"/>
        <v>Dark</v>
      </c>
      <c r="P21" t="str">
        <f>_xlfn.XLOOKUP([3]Customers!A21,[3]Customers!$A$1:$A$100,[3]Customers!$I$1:$I$100,,0)</f>
        <v>Yes</v>
      </c>
    </row>
    <row r="22" spans="1:16" x14ac:dyDescent="0.3">
      <c r="A22" t="s">
        <v>79</v>
      </c>
      <c r="B22" s="2">
        <v>44503</v>
      </c>
      <c r="C22" t="s">
        <v>198</v>
      </c>
      <c r="D22" t="s">
        <v>27</v>
      </c>
      <c r="E22">
        <v>6</v>
      </c>
      <c r="F22" t="s">
        <v>255</v>
      </c>
      <c r="G22" t="str">
        <f>IF(_xlfn.XLOOKUP(C22,[1]Customers!$A$1:$A$100,[1]Customers!$C$1:$C$100,,0)=0,"",_xlfn.XLOOKUP(C22,[1]Customers!$A$1:$A$100,[1]Customers!$C$1:$C$100,,0))</f>
        <v>customer@dummy.com</v>
      </c>
      <c r="H22" t="str">
        <f>_xlfn.XLOOKUP(C22,[1]Customers!$A$1:$A$100,[1]Customers!$G$1:$G$100,,0)</f>
        <v>UK</v>
      </c>
      <c r="I22" t="str">
        <f>_xlfn.XLOOKUP(D22,[2]Products!$A$1:$A$100,[2]Products!$B$1:$B$100,,0)</f>
        <v>Excelsa</v>
      </c>
      <c r="J22" t="str">
        <f>_xlfn.XLOOKUP(D22,[2]Products!$A$1:$A$100,[2]Products!$C$1:$C$100,,0)</f>
        <v>L</v>
      </c>
      <c r="K22">
        <f>_xlfn.XLOOKUP(D22,[2]Products!$A$1:$A$100,[2]Products!$D$1:$D$100,,0)</f>
        <v>1</v>
      </c>
      <c r="L22">
        <f>_xlfn.XLOOKUP(D22,[2]Products!$A$1:$A$100,[2]Products!$E$1:$E$100,,0)</f>
        <v>23.021000000000001</v>
      </c>
      <c r="M22">
        <f t="shared" si="0"/>
        <v>138.126</v>
      </c>
      <c r="N22" t="str">
        <f t="shared" si="1"/>
        <v>Excel</v>
      </c>
      <c r="O22" t="str">
        <f t="shared" si="2"/>
        <v>Light</v>
      </c>
      <c r="P22" t="str">
        <f>_xlfn.XLOOKUP([3]Customers!A22,[3]Customers!$A$1:$A$100,[3]Customers!$I$1:$I$100,,0)</f>
        <v>No</v>
      </c>
    </row>
    <row r="23" spans="1:16" x14ac:dyDescent="0.3">
      <c r="A23" t="s">
        <v>82</v>
      </c>
      <c r="B23" s="2">
        <v>43554</v>
      </c>
      <c r="C23" t="s">
        <v>163</v>
      </c>
      <c r="D23" t="s">
        <v>27</v>
      </c>
      <c r="E23">
        <v>1</v>
      </c>
      <c r="F23" t="s">
        <v>256</v>
      </c>
      <c r="G23" t="str">
        <f>IF(_xlfn.XLOOKUP(C23,[1]Customers!$A$1:$A$100,[1]Customers!$C$1:$C$100,,0)=0,"",_xlfn.XLOOKUP(C23,[1]Customers!$A$1:$A$100,[1]Customers!$C$1:$C$100,,0))</f>
        <v>customer@dummy.com</v>
      </c>
      <c r="H23" t="str">
        <f>_xlfn.XLOOKUP(C23,[1]Customers!$A$1:$A$100,[1]Customers!$G$1:$G$100,,0)</f>
        <v>Australia</v>
      </c>
      <c r="I23" t="str">
        <f>_xlfn.XLOOKUP(D23,[2]Products!$A$1:$A$100,[2]Products!$B$1:$B$100,,0)</f>
        <v>Excelsa</v>
      </c>
      <c r="J23" t="str">
        <f>_xlfn.XLOOKUP(D23,[2]Products!$A$1:$A$100,[2]Products!$C$1:$C$100,,0)</f>
        <v>L</v>
      </c>
      <c r="K23">
        <f>_xlfn.XLOOKUP(D23,[2]Products!$A$1:$A$100,[2]Products!$D$1:$D$100,,0)</f>
        <v>1</v>
      </c>
      <c r="L23">
        <f>_xlfn.XLOOKUP(D23,[2]Products!$A$1:$A$100,[2]Products!$E$1:$E$100,,0)</f>
        <v>23.021000000000001</v>
      </c>
      <c r="M23">
        <f t="shared" si="0"/>
        <v>23.021000000000001</v>
      </c>
      <c r="N23" t="str">
        <f t="shared" si="1"/>
        <v>Excel</v>
      </c>
      <c r="O23" t="str">
        <f t="shared" si="2"/>
        <v>Light</v>
      </c>
      <c r="P23" t="str">
        <f>_xlfn.XLOOKUP([3]Customers!A23,[3]Customers!$A$1:$A$100,[3]Customers!$I$1:$I$100,,0)</f>
        <v>No</v>
      </c>
    </row>
    <row r="24" spans="1:16" x14ac:dyDescent="0.3">
      <c r="A24" t="s">
        <v>84</v>
      </c>
      <c r="B24" s="2">
        <v>43947</v>
      </c>
      <c r="C24" t="s">
        <v>184</v>
      </c>
      <c r="D24" t="s">
        <v>27</v>
      </c>
      <c r="E24">
        <v>1</v>
      </c>
      <c r="F24" t="s">
        <v>257</v>
      </c>
      <c r="G24" t="str">
        <f>IF(_xlfn.XLOOKUP(C24,[1]Customers!$A$1:$A$100,[1]Customers!$C$1:$C$100,,0)=0,"",_xlfn.XLOOKUP(C24,[1]Customers!$A$1:$A$100,[1]Customers!$C$1:$C$100,,0))</f>
        <v>customer@dummy.com</v>
      </c>
      <c r="H24" t="str">
        <f>_xlfn.XLOOKUP(C24,[1]Customers!$A$1:$A$100,[1]Customers!$G$1:$G$100,,0)</f>
        <v>Australia</v>
      </c>
      <c r="I24" t="str">
        <f>_xlfn.XLOOKUP(D24,[2]Products!$A$1:$A$100,[2]Products!$B$1:$B$100,,0)</f>
        <v>Excelsa</v>
      </c>
      <c r="J24" t="str">
        <f>_xlfn.XLOOKUP(D24,[2]Products!$A$1:$A$100,[2]Products!$C$1:$C$100,,0)</f>
        <v>L</v>
      </c>
      <c r="K24">
        <f>_xlfn.XLOOKUP(D24,[2]Products!$A$1:$A$100,[2]Products!$D$1:$D$100,,0)</f>
        <v>1</v>
      </c>
      <c r="L24">
        <f>_xlfn.XLOOKUP(D24,[2]Products!$A$1:$A$100,[2]Products!$E$1:$E$100,,0)</f>
        <v>23.021000000000001</v>
      </c>
      <c r="M24">
        <f t="shared" si="0"/>
        <v>23.021000000000001</v>
      </c>
      <c r="N24" t="str">
        <f t="shared" si="1"/>
        <v>Excel</v>
      </c>
      <c r="O24" t="str">
        <f t="shared" si="2"/>
        <v>Light</v>
      </c>
      <c r="P24" t="str">
        <f>_xlfn.XLOOKUP([3]Customers!A24,[3]Customers!$A$1:$A$100,[3]Customers!$I$1:$I$100,,0)</f>
        <v>Yes</v>
      </c>
    </row>
    <row r="25" spans="1:16" x14ac:dyDescent="0.3">
      <c r="A25" t="s">
        <v>86</v>
      </c>
      <c r="B25" s="2">
        <v>44400</v>
      </c>
      <c r="C25" t="s">
        <v>219</v>
      </c>
      <c r="D25" t="s">
        <v>41</v>
      </c>
      <c r="E25">
        <v>6</v>
      </c>
      <c r="F25" t="s">
        <v>258</v>
      </c>
      <c r="G25" t="str">
        <f>IF(_xlfn.XLOOKUP(C25,[1]Customers!$A$1:$A$100,[1]Customers!$C$1:$C$100,,0)=0,"",_xlfn.XLOOKUP(C25,[1]Customers!$A$1:$A$100,[1]Customers!$C$1:$C$100,,0))</f>
        <v>customer@dummy.com</v>
      </c>
      <c r="H25" t="str">
        <f>_xlfn.XLOOKUP(C25,[1]Customers!$A$1:$A$100,[1]Customers!$G$1:$G$100,,0)</f>
        <v>India</v>
      </c>
      <c r="I25" t="str">
        <f>_xlfn.XLOOKUP(D25,[2]Products!$A$1:$A$100,[2]Products!$B$1:$B$100,,0)</f>
        <v>Arabica</v>
      </c>
      <c r="J25" t="str">
        <f>_xlfn.XLOOKUP(D25,[2]Products!$A$1:$A$100,[2]Products!$C$1:$C$100,,0)</f>
        <v>D</v>
      </c>
      <c r="K25">
        <f>_xlfn.XLOOKUP(D25,[2]Products!$A$1:$A$100,[2]Products!$D$1:$D$100,,0)</f>
        <v>2.5</v>
      </c>
      <c r="L25">
        <f>_xlfn.XLOOKUP(D25,[2]Products!$A$1:$A$100,[2]Products!$E$1:$E$100,,0)</f>
        <v>93.278999999999996</v>
      </c>
      <c r="M25">
        <f t="shared" si="0"/>
        <v>559.67399999999998</v>
      </c>
      <c r="N25" t="str">
        <f t="shared" si="1"/>
        <v>Ara</v>
      </c>
      <c r="O25" t="str">
        <f t="shared" si="2"/>
        <v>Dark</v>
      </c>
      <c r="P25" t="str">
        <f>_xlfn.XLOOKUP([3]Customers!A25,[3]Customers!$A$1:$A$100,[3]Customers!$I$1:$I$100,,0)</f>
        <v>No</v>
      </c>
    </row>
    <row r="26" spans="1:16" x14ac:dyDescent="0.3">
      <c r="A26" t="s">
        <v>87</v>
      </c>
      <c r="B26" s="2">
        <v>44543</v>
      </c>
      <c r="C26" t="s">
        <v>220</v>
      </c>
      <c r="D26" t="s">
        <v>89</v>
      </c>
      <c r="E26">
        <v>4</v>
      </c>
      <c r="F26" t="s">
        <v>60</v>
      </c>
      <c r="G26" t="str">
        <f>IF(_xlfn.XLOOKUP(C26,[1]Customers!$A$1:$A$100,[1]Customers!$C$1:$C$100,,0)=0,"",_xlfn.XLOOKUP(C26,[1]Customers!$A$1:$A$100,[1]Customers!$C$1:$C$100,,0))</f>
        <v>customer@dummy.com</v>
      </c>
      <c r="H26" t="str">
        <f>_xlfn.XLOOKUP(C26,[1]Customers!$A$1:$A$100,[1]Customers!$G$1:$G$100,,0)</f>
        <v>India</v>
      </c>
      <c r="I26" t="str">
        <f>_xlfn.XLOOKUP(D26,[2]Products!$A$1:$A$100,[2]Products!$B$1:$B$100,,0)</f>
        <v>Robusta</v>
      </c>
      <c r="J26" t="str">
        <f>_xlfn.XLOOKUP(D26,[2]Products!$A$1:$A$100,[2]Products!$C$1:$C$100,,0)</f>
        <v>M</v>
      </c>
      <c r="K26">
        <f>_xlfn.XLOOKUP(D26,[2]Products!$A$1:$A$100,[2]Products!$D$1:$D$100,,0)</f>
        <v>1</v>
      </c>
      <c r="L26">
        <f>_xlfn.XLOOKUP(D26,[2]Products!$A$1:$A$100,[2]Products!$E$1:$E$100,,0)</f>
        <v>38.335000000000001</v>
      </c>
      <c r="M26">
        <f t="shared" si="0"/>
        <v>153.34</v>
      </c>
      <c r="N26" t="str">
        <f t="shared" si="1"/>
        <v>Rob</v>
      </c>
      <c r="O26" t="str">
        <f t="shared" si="2"/>
        <v>Medium</v>
      </c>
      <c r="P26" t="str">
        <f>_xlfn.XLOOKUP([3]Customers!A26,[3]Customers!$A$1:$A$100,[3]Customers!$I$1:$I$100,,0)</f>
        <v>Yes</v>
      </c>
    </row>
    <row r="27" spans="1:16" x14ac:dyDescent="0.3">
      <c r="A27" t="s">
        <v>91</v>
      </c>
      <c r="B27" s="2">
        <v>44437</v>
      </c>
      <c r="C27" t="s">
        <v>66</v>
      </c>
      <c r="D27" t="s">
        <v>34</v>
      </c>
      <c r="E27">
        <v>2</v>
      </c>
      <c r="F27" t="s">
        <v>81</v>
      </c>
      <c r="G27" t="str">
        <f>IF(_xlfn.XLOOKUP(C27,[1]Customers!$A$1:$A$100,[1]Customers!$C$1:$C$100,,0)=0,"",_xlfn.XLOOKUP(C27,[1]Customers!$A$1:$A$100,[1]Customers!$C$1:$C$100,,0))</f>
        <v>customer@dummy.com</v>
      </c>
      <c r="H27" t="str">
        <f>_xlfn.XLOOKUP(C27,[1]Customers!$A$1:$A$100,[1]Customers!$G$1:$G$100,,0)</f>
        <v>Germany</v>
      </c>
      <c r="I27" t="str">
        <f>_xlfn.XLOOKUP(D27,[2]Products!$A$1:$A$100,[2]Products!$B$1:$B$100,,0)</f>
        <v>Excelsa</v>
      </c>
      <c r="J27" t="str">
        <f>_xlfn.XLOOKUP(D27,[2]Products!$A$1:$A$100,[2]Products!$C$1:$C$100,,0)</f>
        <v>L</v>
      </c>
      <c r="K27">
        <f>_xlfn.XLOOKUP(D27,[2]Products!$A$1:$A$100,[2]Products!$D$1:$D$100,,0)</f>
        <v>0.5</v>
      </c>
      <c r="L27">
        <f>_xlfn.XLOOKUP(D27,[2]Products!$A$1:$A$100,[2]Products!$E$1:$E$100,,0)</f>
        <v>19.291</v>
      </c>
      <c r="M27">
        <f t="shared" si="0"/>
        <v>38.582000000000001</v>
      </c>
      <c r="N27" t="str">
        <f t="shared" si="1"/>
        <v>Excel</v>
      </c>
      <c r="O27" t="str">
        <f t="shared" si="2"/>
        <v>Light</v>
      </c>
      <c r="P27" t="str">
        <f>_xlfn.XLOOKUP([3]Customers!A27,[3]Customers!$A$1:$A$100,[3]Customers!$I$1:$I$100,,0)</f>
        <v>No</v>
      </c>
    </row>
    <row r="28" spans="1:16" x14ac:dyDescent="0.3">
      <c r="A28" t="s">
        <v>93</v>
      </c>
      <c r="B28" s="2">
        <v>44255</v>
      </c>
      <c r="C28" t="s">
        <v>221</v>
      </c>
      <c r="D28" t="s">
        <v>41</v>
      </c>
      <c r="E28">
        <v>4</v>
      </c>
      <c r="F28" t="s">
        <v>107</v>
      </c>
      <c r="G28" t="str">
        <f>IF(_xlfn.XLOOKUP(C28,[1]Customers!$A$1:$A$100,[1]Customers!$C$1:$C$100,,0)=0,"",_xlfn.XLOOKUP(C28,[1]Customers!$A$1:$A$100,[1]Customers!$C$1:$C$100,,0))</f>
        <v>customer@dummy.com</v>
      </c>
      <c r="H28" t="str">
        <f>_xlfn.XLOOKUP(C28,[1]Customers!$A$1:$A$100,[1]Customers!$G$1:$G$100,,0)</f>
        <v>USA</v>
      </c>
      <c r="I28" t="str">
        <f>_xlfn.XLOOKUP(D28,[2]Products!$A$1:$A$100,[2]Products!$B$1:$B$100,,0)</f>
        <v>Arabica</v>
      </c>
      <c r="J28" t="str">
        <f>_xlfn.XLOOKUP(D28,[2]Products!$A$1:$A$100,[2]Products!$C$1:$C$100,,0)</f>
        <v>D</v>
      </c>
      <c r="K28">
        <f>_xlfn.XLOOKUP(D28,[2]Products!$A$1:$A$100,[2]Products!$D$1:$D$100,,0)</f>
        <v>2.5</v>
      </c>
      <c r="L28">
        <f>_xlfn.XLOOKUP(D28,[2]Products!$A$1:$A$100,[2]Products!$E$1:$E$100,,0)</f>
        <v>93.278999999999996</v>
      </c>
      <c r="M28">
        <f t="shared" si="0"/>
        <v>373.11599999999999</v>
      </c>
      <c r="N28" t="str">
        <f t="shared" si="1"/>
        <v>Ara</v>
      </c>
      <c r="O28" t="str">
        <f t="shared" si="2"/>
        <v>Dark</v>
      </c>
      <c r="P28" t="str">
        <f>_xlfn.XLOOKUP([3]Customers!A28,[3]Customers!$A$1:$A$100,[3]Customers!$I$1:$I$100,,0)</f>
        <v>Yes</v>
      </c>
    </row>
    <row r="29" spans="1:16" x14ac:dyDescent="0.3">
      <c r="A29" t="s">
        <v>94</v>
      </c>
      <c r="B29" s="2">
        <v>44820</v>
      </c>
      <c r="C29" t="s">
        <v>222</v>
      </c>
      <c r="D29" t="s">
        <v>41</v>
      </c>
      <c r="E29">
        <v>5</v>
      </c>
      <c r="F29" t="s">
        <v>28</v>
      </c>
      <c r="G29" t="str">
        <f>IF(_xlfn.XLOOKUP(C29,[1]Customers!$A$1:$A$100,[1]Customers!$C$1:$C$100,,0)=0,"",_xlfn.XLOOKUP(C29,[1]Customers!$A$1:$A$100,[1]Customers!$C$1:$C$100,,0))</f>
        <v>customer@dummy.com</v>
      </c>
      <c r="H29" t="str">
        <f>_xlfn.XLOOKUP(C29,[1]Customers!$A$1:$A$100,[1]Customers!$G$1:$G$100,,0)</f>
        <v>Canada</v>
      </c>
      <c r="I29" t="str">
        <f>_xlfn.XLOOKUP(D29,[2]Products!$A$1:$A$100,[2]Products!$B$1:$B$100,,0)</f>
        <v>Arabica</v>
      </c>
      <c r="J29" t="str">
        <f>_xlfn.XLOOKUP(D29,[2]Products!$A$1:$A$100,[2]Products!$C$1:$C$100,,0)</f>
        <v>D</v>
      </c>
      <c r="K29">
        <f>_xlfn.XLOOKUP(D29,[2]Products!$A$1:$A$100,[2]Products!$D$1:$D$100,,0)</f>
        <v>2.5</v>
      </c>
      <c r="L29">
        <f>_xlfn.XLOOKUP(D29,[2]Products!$A$1:$A$100,[2]Products!$E$1:$E$100,,0)</f>
        <v>93.278999999999996</v>
      </c>
      <c r="M29">
        <f t="shared" si="0"/>
        <v>466.39499999999998</v>
      </c>
      <c r="N29" t="str">
        <f t="shared" si="1"/>
        <v>Ara</v>
      </c>
      <c r="O29" t="str">
        <f t="shared" si="2"/>
        <v>Dark</v>
      </c>
      <c r="P29" t="str">
        <f>_xlfn.XLOOKUP([3]Customers!A29,[3]Customers!$A$1:$A$100,[3]Customers!$I$1:$I$100,,0)</f>
        <v>No</v>
      </c>
    </row>
    <row r="30" spans="1:16" x14ac:dyDescent="0.3">
      <c r="A30" t="s">
        <v>96</v>
      </c>
      <c r="B30" s="2">
        <v>44864</v>
      </c>
      <c r="C30" t="s">
        <v>223</v>
      </c>
      <c r="D30" t="s">
        <v>63</v>
      </c>
      <c r="E30">
        <v>2</v>
      </c>
      <c r="F30" t="s">
        <v>254</v>
      </c>
      <c r="G30" t="str">
        <f>IF(_xlfn.XLOOKUP(C30,[1]Customers!$A$1:$A$100,[1]Customers!$C$1:$C$100,,0)=0,"",_xlfn.XLOOKUP(C30,[1]Customers!$A$1:$A$100,[1]Customers!$C$1:$C$100,,0))</f>
        <v>customer@dummy.com</v>
      </c>
      <c r="H30" t="str">
        <f>_xlfn.XLOOKUP(C30,[1]Customers!$A$1:$A$100,[1]Customers!$G$1:$G$100,,0)</f>
        <v>UK</v>
      </c>
      <c r="I30" t="str">
        <f>_xlfn.XLOOKUP(D30,[2]Products!$A$1:$A$100,[2]Products!$B$1:$B$100,,0)</f>
        <v>Arabica</v>
      </c>
      <c r="J30" t="str">
        <f>_xlfn.XLOOKUP(D30,[2]Products!$A$1:$A$100,[2]Products!$C$1:$C$100,,0)</f>
        <v>L</v>
      </c>
      <c r="K30">
        <f>_xlfn.XLOOKUP(D30,[2]Products!$A$1:$A$100,[2]Products!$D$1:$D$100,,0)</f>
        <v>2.5</v>
      </c>
      <c r="L30">
        <f>_xlfn.XLOOKUP(D30,[2]Products!$A$1:$A$100,[2]Products!$E$1:$E$100,,0)</f>
        <v>61.25</v>
      </c>
      <c r="M30">
        <f t="shared" si="0"/>
        <v>122.5</v>
      </c>
      <c r="N30" t="str">
        <f t="shared" si="1"/>
        <v>Ara</v>
      </c>
      <c r="O30" t="str">
        <f t="shared" si="2"/>
        <v>Light</v>
      </c>
      <c r="P30" t="str">
        <f>_xlfn.XLOOKUP([3]Customers!A30,[3]Customers!$A$1:$A$100,[3]Customers!$I$1:$I$100,,0)</f>
        <v>Yes</v>
      </c>
    </row>
    <row r="31" spans="1:16" x14ac:dyDescent="0.3">
      <c r="A31" t="s">
        <v>98</v>
      </c>
      <c r="B31" s="2">
        <v>44997</v>
      </c>
      <c r="C31" t="s">
        <v>181</v>
      </c>
      <c r="D31" t="s">
        <v>15</v>
      </c>
      <c r="E31">
        <v>6</v>
      </c>
      <c r="F31" t="s">
        <v>252</v>
      </c>
      <c r="G31" t="str">
        <f>IF(_xlfn.XLOOKUP(C31,[1]Customers!$A$1:$A$100,[1]Customers!$C$1:$C$100,,0)=0,"",_xlfn.XLOOKUP(C31,[1]Customers!$A$1:$A$100,[1]Customers!$C$1:$C$100,,0))</f>
        <v>customer@dummy.com</v>
      </c>
      <c r="H31" t="str">
        <f>_xlfn.XLOOKUP(C31,[1]Customers!$A$1:$A$100,[1]Customers!$G$1:$G$100,,0)</f>
        <v>UK</v>
      </c>
      <c r="I31" t="str">
        <f>_xlfn.XLOOKUP(D31,[2]Products!$A$1:$A$100,[2]Products!$B$1:$B$100,,0)</f>
        <v>Robusta</v>
      </c>
      <c r="J31" t="str">
        <f>_xlfn.XLOOKUP(D31,[2]Products!$A$1:$A$100,[2]Products!$C$1:$C$100,,0)</f>
        <v>M</v>
      </c>
      <c r="K31">
        <f>_xlfn.XLOOKUP(D31,[2]Products!$A$1:$A$100,[2]Products!$D$1:$D$100,,0)</f>
        <v>1</v>
      </c>
      <c r="L31">
        <f>_xlfn.XLOOKUP(D31,[2]Products!$A$1:$A$100,[2]Products!$E$1:$E$100,,0)</f>
        <v>29.852</v>
      </c>
      <c r="M31">
        <f t="shared" si="0"/>
        <v>179.11199999999999</v>
      </c>
      <c r="N31" t="str">
        <f t="shared" si="1"/>
        <v>Rob</v>
      </c>
      <c r="O31" t="str">
        <f t="shared" si="2"/>
        <v>Medium</v>
      </c>
      <c r="P31" t="str">
        <f>_xlfn.XLOOKUP([3]Customers!A31,[3]Customers!$A$1:$A$100,[3]Customers!$I$1:$I$100,,0)</f>
        <v>Yes</v>
      </c>
    </row>
    <row r="32" spans="1:16" x14ac:dyDescent="0.3">
      <c r="A32" t="s">
        <v>100</v>
      </c>
      <c r="B32" s="2">
        <v>45452</v>
      </c>
      <c r="C32" t="s">
        <v>224</v>
      </c>
      <c r="D32" t="s">
        <v>89</v>
      </c>
      <c r="E32">
        <v>6</v>
      </c>
      <c r="F32" t="s">
        <v>81</v>
      </c>
      <c r="G32" t="str">
        <f>IF(_xlfn.XLOOKUP(C32,[1]Customers!$A$1:$A$100,[1]Customers!$C$1:$C$100,,0)=0,"",_xlfn.XLOOKUP(C32,[1]Customers!$A$1:$A$100,[1]Customers!$C$1:$C$100,,0))</f>
        <v/>
      </c>
      <c r="H32" t="str">
        <f>_xlfn.XLOOKUP(C32,[1]Customers!$A$1:$A$100,[1]Customers!$G$1:$G$100,,0)</f>
        <v>USA</v>
      </c>
      <c r="I32" t="str">
        <f>_xlfn.XLOOKUP(D32,[2]Products!$A$1:$A$100,[2]Products!$B$1:$B$100,,0)</f>
        <v>Robusta</v>
      </c>
      <c r="J32" t="str">
        <f>_xlfn.XLOOKUP(D32,[2]Products!$A$1:$A$100,[2]Products!$C$1:$C$100,,0)</f>
        <v>M</v>
      </c>
      <c r="K32">
        <f>_xlfn.XLOOKUP(D32,[2]Products!$A$1:$A$100,[2]Products!$D$1:$D$100,,0)</f>
        <v>1</v>
      </c>
      <c r="L32">
        <f>_xlfn.XLOOKUP(D32,[2]Products!$A$1:$A$100,[2]Products!$E$1:$E$100,,0)</f>
        <v>38.335000000000001</v>
      </c>
      <c r="M32">
        <f t="shared" si="0"/>
        <v>230.01</v>
      </c>
      <c r="N32" t="str">
        <f t="shared" si="1"/>
        <v>Rob</v>
      </c>
      <c r="O32" t="str">
        <f t="shared" si="2"/>
        <v>Medium</v>
      </c>
      <c r="P32" t="str">
        <f>_xlfn.XLOOKUP([3]Customers!A32,[3]Customers!$A$1:$A$100,[3]Customers!$I$1:$I$100,,0)</f>
        <v>Yes</v>
      </c>
    </row>
    <row r="33" spans="1:16" x14ac:dyDescent="0.3">
      <c r="A33" t="s">
        <v>102</v>
      </c>
      <c r="B33" s="2">
        <v>45309</v>
      </c>
      <c r="C33" t="s">
        <v>207</v>
      </c>
      <c r="D33" t="s">
        <v>19</v>
      </c>
      <c r="E33">
        <v>1</v>
      </c>
      <c r="F33" t="s">
        <v>28</v>
      </c>
      <c r="G33" t="str">
        <f>IF(_xlfn.XLOOKUP(C33,[1]Customers!$A$1:$A$100,[1]Customers!$C$1:$C$100,,0)=0,"",_xlfn.XLOOKUP(C33,[1]Customers!$A$1:$A$100,[1]Customers!$C$1:$C$100,,0))</f>
        <v>customer@dummy.com</v>
      </c>
      <c r="H33" t="str">
        <f>_xlfn.XLOOKUP(C33,[1]Customers!$A$1:$A$100,[1]Customers!$G$1:$G$100,,0)</f>
        <v>India</v>
      </c>
      <c r="I33" t="str">
        <f>_xlfn.XLOOKUP(D33,[2]Products!$A$1:$A$100,[2]Products!$B$1:$B$100,,0)</f>
        <v>Arabica</v>
      </c>
      <c r="J33" t="str">
        <f>_xlfn.XLOOKUP(D33,[2]Products!$A$1:$A$100,[2]Products!$C$1:$C$100,,0)</f>
        <v>D</v>
      </c>
      <c r="K33">
        <f>_xlfn.XLOOKUP(D33,[2]Products!$A$1:$A$100,[2]Products!$D$1:$D$100,,0)</f>
        <v>0.2</v>
      </c>
      <c r="L33">
        <f>_xlfn.XLOOKUP(D33,[2]Products!$A$1:$A$100,[2]Products!$E$1:$E$100,,0)</f>
        <v>5.7619999999999996</v>
      </c>
      <c r="M33">
        <f t="shared" si="0"/>
        <v>5.7619999999999996</v>
      </c>
      <c r="N33" t="str">
        <f t="shared" si="1"/>
        <v>Ara</v>
      </c>
      <c r="O33" t="str">
        <f t="shared" si="2"/>
        <v>Dark</v>
      </c>
      <c r="P33" t="str">
        <f>_xlfn.XLOOKUP([3]Customers!A33,[3]Customers!$A$1:$A$100,[3]Customers!$I$1:$I$100,,0)</f>
        <v>Yes</v>
      </c>
    </row>
    <row r="34" spans="1:16" x14ac:dyDescent="0.3">
      <c r="A34" t="s">
        <v>103</v>
      </c>
      <c r="B34" s="2">
        <v>44020</v>
      </c>
      <c r="C34" t="s">
        <v>95</v>
      </c>
      <c r="D34" t="s">
        <v>15</v>
      </c>
      <c r="E34">
        <v>6</v>
      </c>
      <c r="F34" t="s">
        <v>16</v>
      </c>
      <c r="G34" t="str">
        <f>IF(_xlfn.XLOOKUP(C34,[1]Customers!$A$1:$A$100,[1]Customers!$C$1:$C$100,,0)=0,"",_xlfn.XLOOKUP(C34,[1]Customers!$A$1:$A$100,[1]Customers!$C$1:$C$100,,0))</f>
        <v>customer@dummy.com</v>
      </c>
      <c r="H34" t="str">
        <f>_xlfn.XLOOKUP(C34,[1]Customers!$A$1:$A$100,[1]Customers!$G$1:$G$100,,0)</f>
        <v>Germany</v>
      </c>
      <c r="I34" t="str">
        <f>_xlfn.XLOOKUP(D34,[2]Products!$A$1:$A$100,[2]Products!$B$1:$B$100,,0)</f>
        <v>Robusta</v>
      </c>
      <c r="J34" t="str">
        <f>_xlfn.XLOOKUP(D34,[2]Products!$A$1:$A$100,[2]Products!$C$1:$C$100,,0)</f>
        <v>M</v>
      </c>
      <c r="K34">
        <f>_xlfn.XLOOKUP(D34,[2]Products!$A$1:$A$100,[2]Products!$D$1:$D$100,,0)</f>
        <v>1</v>
      </c>
      <c r="L34">
        <f>_xlfn.XLOOKUP(D34,[2]Products!$A$1:$A$100,[2]Products!$E$1:$E$100,,0)</f>
        <v>29.852</v>
      </c>
      <c r="M34">
        <f t="shared" si="0"/>
        <v>179.11199999999999</v>
      </c>
      <c r="N34" t="str">
        <f t="shared" si="1"/>
        <v>Rob</v>
      </c>
      <c r="O34" t="str">
        <f t="shared" si="2"/>
        <v>Medium</v>
      </c>
      <c r="P34" t="str">
        <f>_xlfn.XLOOKUP([3]Customers!A34,[3]Customers!$A$1:$A$100,[3]Customers!$I$1:$I$100,,0)</f>
        <v>No</v>
      </c>
    </row>
    <row r="35" spans="1:16" x14ac:dyDescent="0.3">
      <c r="A35" t="s">
        <v>105</v>
      </c>
      <c r="B35" s="2">
        <v>44619</v>
      </c>
      <c r="C35" t="s">
        <v>225</v>
      </c>
      <c r="D35" t="s">
        <v>51</v>
      </c>
      <c r="E35">
        <v>2</v>
      </c>
      <c r="F35" t="s">
        <v>252</v>
      </c>
      <c r="G35" t="str">
        <f>IF(_xlfn.XLOOKUP(C35,[1]Customers!$A$1:$A$100,[1]Customers!$C$1:$C$100,,0)=0,"",_xlfn.XLOOKUP(C35,[1]Customers!$A$1:$A$100,[1]Customers!$C$1:$C$100,,0))</f>
        <v>customer@dummy.com</v>
      </c>
      <c r="H35" t="str">
        <f>_xlfn.XLOOKUP(C35,[1]Customers!$A$1:$A$100,[1]Customers!$G$1:$G$100,,0)</f>
        <v>Canada</v>
      </c>
      <c r="I35" t="str">
        <f>_xlfn.XLOOKUP(D35,[2]Products!$A$1:$A$100,[2]Products!$B$1:$B$100,,0)</f>
        <v>Robusta</v>
      </c>
      <c r="J35" t="str">
        <f>_xlfn.XLOOKUP(D35,[2]Products!$A$1:$A$100,[2]Products!$C$1:$C$100,,0)</f>
        <v>M</v>
      </c>
      <c r="K35">
        <f>_xlfn.XLOOKUP(D35,[2]Products!$A$1:$A$100,[2]Products!$D$1:$D$100,,0)</f>
        <v>1</v>
      </c>
      <c r="L35">
        <f>_xlfn.XLOOKUP(D35,[2]Products!$A$1:$A$100,[2]Products!$E$1:$E$100,,0)</f>
        <v>38.543999999999997</v>
      </c>
      <c r="M35">
        <f t="shared" si="0"/>
        <v>77.087999999999994</v>
      </c>
      <c r="N35" t="str">
        <f t="shared" si="1"/>
        <v>Rob</v>
      </c>
      <c r="O35" t="str">
        <f t="shared" si="2"/>
        <v>Medium</v>
      </c>
      <c r="P35" t="str">
        <f>_xlfn.XLOOKUP([3]Customers!A35,[3]Customers!$A$1:$A$100,[3]Customers!$I$1:$I$100,,0)</f>
        <v>Yes</v>
      </c>
    </row>
    <row r="36" spans="1:16" x14ac:dyDescent="0.3">
      <c r="A36" t="s">
        <v>108</v>
      </c>
      <c r="B36" s="2">
        <v>44345</v>
      </c>
      <c r="C36" t="s">
        <v>226</v>
      </c>
      <c r="D36" t="s">
        <v>45</v>
      </c>
      <c r="E36">
        <v>5</v>
      </c>
      <c r="F36" t="s">
        <v>259</v>
      </c>
      <c r="G36" t="str">
        <f>IF(_xlfn.XLOOKUP(C36,[1]Customers!$A$1:$A$100,[1]Customers!$C$1:$C$100,,0)=0,"",_xlfn.XLOOKUP(C36,[1]Customers!$A$1:$A$100,[1]Customers!$C$1:$C$100,,0))</f>
        <v>customer@dummy.com</v>
      </c>
      <c r="H36" t="str">
        <f>_xlfn.XLOOKUP(C36,[1]Customers!$A$1:$A$100,[1]Customers!$G$1:$G$100,,0)</f>
        <v>USA</v>
      </c>
      <c r="I36" t="str">
        <f>_xlfn.XLOOKUP(D36,[2]Products!$A$1:$A$100,[2]Products!$B$1:$B$100,,0)</f>
        <v>Arabica</v>
      </c>
      <c r="J36" t="str">
        <f>_xlfn.XLOOKUP(D36,[2]Products!$A$1:$A$100,[2]Products!$C$1:$C$100,,0)</f>
        <v>M</v>
      </c>
      <c r="K36">
        <f>_xlfn.XLOOKUP(D36,[2]Products!$A$1:$A$100,[2]Products!$D$1:$D$100,,0)</f>
        <v>1</v>
      </c>
      <c r="L36">
        <f>_xlfn.XLOOKUP(D36,[2]Products!$A$1:$A$100,[2]Products!$E$1:$E$100,,0)</f>
        <v>30.213999999999999</v>
      </c>
      <c r="M36">
        <f t="shared" si="0"/>
        <v>151.07</v>
      </c>
      <c r="N36" t="str">
        <f t="shared" si="1"/>
        <v>Ara</v>
      </c>
      <c r="O36" t="str">
        <f t="shared" si="2"/>
        <v>Medium</v>
      </c>
      <c r="P36" t="str">
        <f>_xlfn.XLOOKUP([3]Customers!A36,[3]Customers!$A$1:$A$100,[3]Customers!$I$1:$I$100,,0)</f>
        <v>No</v>
      </c>
    </row>
    <row r="37" spans="1:16" x14ac:dyDescent="0.3">
      <c r="A37" t="s">
        <v>111</v>
      </c>
      <c r="B37" s="2">
        <v>43803</v>
      </c>
      <c r="C37" t="s">
        <v>227</v>
      </c>
      <c r="D37" t="s">
        <v>78</v>
      </c>
      <c r="E37">
        <v>3</v>
      </c>
      <c r="F37" t="s">
        <v>259</v>
      </c>
      <c r="G37" t="str">
        <f>IF(_xlfn.XLOOKUP(C37,[1]Customers!$A$1:$A$100,[1]Customers!$C$1:$C$100,,0)=0,"",_xlfn.XLOOKUP(C37,[1]Customers!$A$1:$A$100,[1]Customers!$C$1:$C$100,,0))</f>
        <v>customer@dummy.com</v>
      </c>
      <c r="H37" t="str">
        <f>_xlfn.XLOOKUP(C37,[1]Customers!$A$1:$A$100,[1]Customers!$G$1:$G$100,,0)</f>
        <v>Canada</v>
      </c>
      <c r="I37" t="str">
        <f>_xlfn.XLOOKUP(D37,[2]Products!$A$1:$A$100,[2]Products!$B$1:$B$100,,0)</f>
        <v>Excelsa</v>
      </c>
      <c r="J37" t="str">
        <f>_xlfn.XLOOKUP(D37,[2]Products!$A$1:$A$100,[2]Products!$C$1:$C$100,,0)</f>
        <v>D</v>
      </c>
      <c r="K37">
        <f>_xlfn.XLOOKUP(D37,[2]Products!$A$1:$A$100,[2]Products!$D$1:$D$100,,0)</f>
        <v>0.5</v>
      </c>
      <c r="L37">
        <f>_xlfn.XLOOKUP(D37,[2]Products!$A$1:$A$100,[2]Products!$E$1:$E$100,,0)</f>
        <v>18.209</v>
      </c>
      <c r="M37">
        <f t="shared" si="0"/>
        <v>54.626999999999995</v>
      </c>
      <c r="N37" t="str">
        <f t="shared" si="1"/>
        <v>Excel</v>
      </c>
      <c r="O37" t="str">
        <f t="shared" si="2"/>
        <v>Dark</v>
      </c>
      <c r="P37" t="str">
        <f>_xlfn.XLOOKUP([3]Customers!A37,[3]Customers!$A$1:$A$100,[3]Customers!$I$1:$I$100,,0)</f>
        <v>Yes</v>
      </c>
    </row>
    <row r="38" spans="1:16" x14ac:dyDescent="0.3">
      <c r="A38" t="s">
        <v>113</v>
      </c>
      <c r="B38" s="2">
        <v>45146</v>
      </c>
      <c r="C38" t="s">
        <v>228</v>
      </c>
      <c r="D38" t="s">
        <v>45</v>
      </c>
      <c r="E38">
        <v>2</v>
      </c>
      <c r="F38" t="s">
        <v>42</v>
      </c>
      <c r="G38" t="str">
        <f>IF(_xlfn.XLOOKUP(C38,[1]Customers!$A$1:$A$100,[1]Customers!$C$1:$C$100,,0)=0,"",_xlfn.XLOOKUP(C38,[1]Customers!$A$1:$A$100,[1]Customers!$C$1:$C$100,,0))</f>
        <v>customer@dummy.com</v>
      </c>
      <c r="H38" t="str">
        <f>_xlfn.XLOOKUP(C38,[1]Customers!$A$1:$A$100,[1]Customers!$G$1:$G$100,,0)</f>
        <v>Australia</v>
      </c>
      <c r="I38" t="str">
        <f>_xlfn.XLOOKUP(D38,[2]Products!$A$1:$A$100,[2]Products!$B$1:$B$100,,0)</f>
        <v>Arabica</v>
      </c>
      <c r="J38" t="str">
        <f>_xlfn.XLOOKUP(D38,[2]Products!$A$1:$A$100,[2]Products!$C$1:$C$100,,0)</f>
        <v>M</v>
      </c>
      <c r="K38">
        <f>_xlfn.XLOOKUP(D38,[2]Products!$A$1:$A$100,[2]Products!$D$1:$D$100,,0)</f>
        <v>1</v>
      </c>
      <c r="L38">
        <f>_xlfn.XLOOKUP(D38,[2]Products!$A$1:$A$100,[2]Products!$E$1:$E$100,,0)</f>
        <v>30.213999999999999</v>
      </c>
      <c r="M38">
        <f t="shared" si="0"/>
        <v>60.427999999999997</v>
      </c>
      <c r="N38" t="str">
        <f t="shared" si="1"/>
        <v>Ara</v>
      </c>
      <c r="O38" t="str">
        <f t="shared" si="2"/>
        <v>Medium</v>
      </c>
      <c r="P38" t="str">
        <f>_xlfn.XLOOKUP([3]Customers!A38,[3]Customers!$A$1:$A$100,[3]Customers!$I$1:$I$100,,0)</f>
        <v>No</v>
      </c>
    </row>
    <row r="39" spans="1:16" x14ac:dyDescent="0.3">
      <c r="A39" t="s">
        <v>116</v>
      </c>
      <c r="B39" s="2">
        <v>43854</v>
      </c>
      <c r="C39" t="s">
        <v>154</v>
      </c>
      <c r="D39" t="s">
        <v>51</v>
      </c>
      <c r="E39">
        <v>5</v>
      </c>
      <c r="F39" t="s">
        <v>24</v>
      </c>
      <c r="G39" t="str">
        <f>IF(_xlfn.XLOOKUP(C39,[1]Customers!$A$1:$A$100,[1]Customers!$C$1:$C$100,,0)=0,"",_xlfn.XLOOKUP(C39,[1]Customers!$A$1:$A$100,[1]Customers!$C$1:$C$100,,0))</f>
        <v>customer@dummy.com</v>
      </c>
      <c r="H39" t="str">
        <f>_xlfn.XLOOKUP(C39,[1]Customers!$A$1:$A$100,[1]Customers!$G$1:$G$100,,0)</f>
        <v>Germany</v>
      </c>
      <c r="I39" t="str">
        <f>_xlfn.XLOOKUP(D39,[2]Products!$A$1:$A$100,[2]Products!$B$1:$B$100,,0)</f>
        <v>Robusta</v>
      </c>
      <c r="J39" t="str">
        <f>_xlfn.XLOOKUP(D39,[2]Products!$A$1:$A$100,[2]Products!$C$1:$C$100,,0)</f>
        <v>M</v>
      </c>
      <c r="K39">
        <f>_xlfn.XLOOKUP(D39,[2]Products!$A$1:$A$100,[2]Products!$D$1:$D$100,,0)</f>
        <v>1</v>
      </c>
      <c r="L39">
        <f>_xlfn.XLOOKUP(D39,[2]Products!$A$1:$A$100,[2]Products!$E$1:$E$100,,0)</f>
        <v>38.543999999999997</v>
      </c>
      <c r="M39">
        <f t="shared" si="0"/>
        <v>192.71999999999997</v>
      </c>
      <c r="N39" t="str">
        <f t="shared" si="1"/>
        <v>Rob</v>
      </c>
      <c r="O39" t="str">
        <f t="shared" si="2"/>
        <v>Medium</v>
      </c>
      <c r="P39" t="str">
        <f>_xlfn.XLOOKUP([3]Customers!A39,[3]Customers!$A$1:$A$100,[3]Customers!$I$1:$I$100,,0)</f>
        <v>Yes</v>
      </c>
    </row>
    <row r="40" spans="1:16" x14ac:dyDescent="0.3">
      <c r="A40" t="s">
        <v>118</v>
      </c>
      <c r="B40" s="2">
        <v>44991</v>
      </c>
      <c r="C40" t="s">
        <v>26</v>
      </c>
      <c r="D40" t="s">
        <v>27</v>
      </c>
      <c r="E40">
        <v>1</v>
      </c>
      <c r="F40" t="s">
        <v>258</v>
      </c>
      <c r="G40" t="str">
        <f>IF(_xlfn.XLOOKUP(C40,[1]Customers!$A$1:$A$100,[1]Customers!$C$1:$C$100,,0)=0,"",_xlfn.XLOOKUP(C40,[1]Customers!$A$1:$A$100,[1]Customers!$C$1:$C$100,,0))</f>
        <v>customer@dummy.com</v>
      </c>
      <c r="H40" t="str">
        <f>_xlfn.XLOOKUP(C40,[1]Customers!$A$1:$A$100,[1]Customers!$G$1:$G$100,,0)</f>
        <v>Canada</v>
      </c>
      <c r="I40" t="str">
        <f>_xlfn.XLOOKUP(D40,[2]Products!$A$1:$A$100,[2]Products!$B$1:$B$100,,0)</f>
        <v>Excelsa</v>
      </c>
      <c r="J40" t="str">
        <f>_xlfn.XLOOKUP(D40,[2]Products!$A$1:$A$100,[2]Products!$C$1:$C$100,,0)</f>
        <v>L</v>
      </c>
      <c r="K40">
        <f>_xlfn.XLOOKUP(D40,[2]Products!$A$1:$A$100,[2]Products!$D$1:$D$100,,0)</f>
        <v>1</v>
      </c>
      <c r="L40">
        <f>_xlfn.XLOOKUP(D40,[2]Products!$A$1:$A$100,[2]Products!$E$1:$E$100,,0)</f>
        <v>23.021000000000001</v>
      </c>
      <c r="M40">
        <f t="shared" si="0"/>
        <v>23.021000000000001</v>
      </c>
      <c r="N40" t="str">
        <f t="shared" si="1"/>
        <v>Excel</v>
      </c>
      <c r="O40" t="str">
        <f t="shared" si="2"/>
        <v>Light</v>
      </c>
      <c r="P40" t="str">
        <f>_xlfn.XLOOKUP([3]Customers!A40,[3]Customers!$A$1:$A$100,[3]Customers!$I$1:$I$100,,0)</f>
        <v>Yes</v>
      </c>
    </row>
    <row r="41" spans="1:16" x14ac:dyDescent="0.3">
      <c r="A41" t="s">
        <v>119</v>
      </c>
      <c r="B41" s="2">
        <v>43799</v>
      </c>
      <c r="C41" t="s">
        <v>112</v>
      </c>
      <c r="D41" t="s">
        <v>45</v>
      </c>
      <c r="E41">
        <v>4</v>
      </c>
      <c r="F41" t="s">
        <v>258</v>
      </c>
      <c r="G41" t="str">
        <f>IF(_xlfn.XLOOKUP(C41,[1]Customers!$A$1:$A$100,[1]Customers!$C$1:$C$100,,0)=0,"",_xlfn.XLOOKUP(C41,[1]Customers!$A$1:$A$100,[1]Customers!$C$1:$C$100,,0))</f>
        <v>customer@dummy.com</v>
      </c>
      <c r="H41" t="str">
        <f>_xlfn.XLOOKUP(C41,[1]Customers!$A$1:$A$100,[1]Customers!$G$1:$G$100,,0)</f>
        <v>India</v>
      </c>
      <c r="I41" t="str">
        <f>_xlfn.XLOOKUP(D41,[2]Products!$A$1:$A$100,[2]Products!$B$1:$B$100,,0)</f>
        <v>Arabica</v>
      </c>
      <c r="J41" t="str">
        <f>_xlfn.XLOOKUP(D41,[2]Products!$A$1:$A$100,[2]Products!$C$1:$C$100,,0)</f>
        <v>M</v>
      </c>
      <c r="K41">
        <f>_xlfn.XLOOKUP(D41,[2]Products!$A$1:$A$100,[2]Products!$D$1:$D$100,,0)</f>
        <v>1</v>
      </c>
      <c r="L41">
        <f>_xlfn.XLOOKUP(D41,[2]Products!$A$1:$A$100,[2]Products!$E$1:$E$100,,0)</f>
        <v>30.213999999999999</v>
      </c>
      <c r="M41">
        <f t="shared" si="0"/>
        <v>120.85599999999999</v>
      </c>
      <c r="N41" t="str">
        <f t="shared" si="1"/>
        <v>Ara</v>
      </c>
      <c r="O41" t="str">
        <f t="shared" si="2"/>
        <v>Medium</v>
      </c>
      <c r="P41" t="str">
        <f>_xlfn.XLOOKUP([3]Customers!A41,[3]Customers!$A$1:$A$100,[3]Customers!$I$1:$I$100,,0)</f>
        <v>Yes</v>
      </c>
    </row>
    <row r="42" spans="1:16" x14ac:dyDescent="0.3">
      <c r="A42" t="s">
        <v>120</v>
      </c>
      <c r="B42" s="2">
        <v>45267</v>
      </c>
      <c r="C42" t="s">
        <v>229</v>
      </c>
      <c r="D42" t="s">
        <v>27</v>
      </c>
      <c r="E42">
        <v>5</v>
      </c>
      <c r="F42" t="s">
        <v>257</v>
      </c>
      <c r="G42" t="str">
        <f>IF(_xlfn.XLOOKUP(C42,[1]Customers!$A$1:$A$100,[1]Customers!$C$1:$C$100,,0)=0,"",_xlfn.XLOOKUP(C42,[1]Customers!$A$1:$A$100,[1]Customers!$C$1:$C$100,,0))</f>
        <v>customer@dummy.com</v>
      </c>
      <c r="H42" t="str">
        <f>_xlfn.XLOOKUP(C42,[1]Customers!$A$1:$A$100,[1]Customers!$G$1:$G$100,,0)</f>
        <v>Canada</v>
      </c>
      <c r="I42" t="str">
        <f>_xlfn.XLOOKUP(D42,[2]Products!$A$1:$A$100,[2]Products!$B$1:$B$100,,0)</f>
        <v>Excelsa</v>
      </c>
      <c r="J42" t="str">
        <f>_xlfn.XLOOKUP(D42,[2]Products!$A$1:$A$100,[2]Products!$C$1:$C$100,,0)</f>
        <v>L</v>
      </c>
      <c r="K42">
        <f>_xlfn.XLOOKUP(D42,[2]Products!$A$1:$A$100,[2]Products!$D$1:$D$100,,0)</f>
        <v>1</v>
      </c>
      <c r="L42">
        <f>_xlfn.XLOOKUP(D42,[2]Products!$A$1:$A$100,[2]Products!$E$1:$E$100,,0)</f>
        <v>23.021000000000001</v>
      </c>
      <c r="M42">
        <f t="shared" si="0"/>
        <v>115.105</v>
      </c>
      <c r="N42" t="str">
        <f t="shared" si="1"/>
        <v>Excel</v>
      </c>
      <c r="O42" t="str">
        <f t="shared" si="2"/>
        <v>Light</v>
      </c>
      <c r="P42" t="str">
        <f>_xlfn.XLOOKUP([3]Customers!A42,[3]Customers!$A$1:$A$100,[3]Customers!$I$1:$I$100,,0)</f>
        <v>No</v>
      </c>
    </row>
    <row r="43" spans="1:16" x14ac:dyDescent="0.3">
      <c r="A43" t="s">
        <v>122</v>
      </c>
      <c r="B43" s="2">
        <v>44614</v>
      </c>
      <c r="C43" t="s">
        <v>230</v>
      </c>
      <c r="D43" t="s">
        <v>124</v>
      </c>
      <c r="E43">
        <v>6</v>
      </c>
      <c r="F43" t="s">
        <v>256</v>
      </c>
      <c r="G43" t="str">
        <f>IF(_xlfn.XLOOKUP(C43,[1]Customers!$A$1:$A$100,[1]Customers!$C$1:$C$100,,0)=0,"",_xlfn.XLOOKUP(C43,[1]Customers!$A$1:$A$100,[1]Customers!$C$1:$C$100,,0))</f>
        <v/>
      </c>
      <c r="H43" t="str">
        <f>_xlfn.XLOOKUP(C43,[1]Customers!$A$1:$A$100,[1]Customers!$G$1:$G$100,,0)</f>
        <v>India</v>
      </c>
      <c r="I43" t="str">
        <f>_xlfn.XLOOKUP(D43,[2]Products!$A$1:$A$100,[2]Products!$B$1:$B$100,,0)</f>
        <v>Excelsa</v>
      </c>
      <c r="J43" t="str">
        <f>_xlfn.XLOOKUP(D43,[2]Products!$A$1:$A$100,[2]Products!$C$1:$C$100,,0)</f>
        <v>M</v>
      </c>
      <c r="K43">
        <f>_xlfn.XLOOKUP(D43,[2]Products!$A$1:$A$100,[2]Products!$D$1:$D$100,,0)</f>
        <v>0.5</v>
      </c>
      <c r="L43">
        <f>_xlfn.XLOOKUP(D43,[2]Products!$A$1:$A$100,[2]Products!$E$1:$E$100,,0)</f>
        <v>16.710999999999999</v>
      </c>
      <c r="M43">
        <f t="shared" si="0"/>
        <v>100.26599999999999</v>
      </c>
      <c r="N43" t="str">
        <f t="shared" si="1"/>
        <v>Excel</v>
      </c>
      <c r="O43" t="str">
        <f t="shared" si="2"/>
        <v>Medium</v>
      </c>
      <c r="P43" t="str">
        <f>_xlfn.XLOOKUP([3]Customers!A43,[3]Customers!$A$1:$A$100,[3]Customers!$I$1:$I$100,,0)</f>
        <v>Yes</v>
      </c>
    </row>
    <row r="44" spans="1:16" x14ac:dyDescent="0.3">
      <c r="A44" t="s">
        <v>125</v>
      </c>
      <c r="B44" s="2">
        <v>45029</v>
      </c>
      <c r="C44" t="s">
        <v>192</v>
      </c>
      <c r="D44" t="s">
        <v>127</v>
      </c>
      <c r="E44">
        <v>5</v>
      </c>
      <c r="F44" t="s">
        <v>252</v>
      </c>
      <c r="G44" t="str">
        <f>IF(_xlfn.XLOOKUP(C44,[1]Customers!$A$1:$A$100,[1]Customers!$C$1:$C$100,,0)=0,"",_xlfn.XLOOKUP(C44,[1]Customers!$A$1:$A$100,[1]Customers!$C$1:$C$100,,0))</f>
        <v>customer@dummy.com</v>
      </c>
      <c r="H44" t="str">
        <f>_xlfn.XLOOKUP(C44,[1]Customers!$A$1:$A$100,[1]Customers!$G$1:$G$100,,0)</f>
        <v>Germany</v>
      </c>
      <c r="I44" t="str">
        <f>_xlfn.XLOOKUP(D44,[2]Products!$A$1:$A$100,[2]Products!$B$1:$B$100,,0)</f>
        <v>Liberica</v>
      </c>
      <c r="J44" t="str">
        <f>_xlfn.XLOOKUP(D44,[2]Products!$A$1:$A$100,[2]Products!$C$1:$C$100,,0)</f>
        <v>D</v>
      </c>
      <c r="K44">
        <f>_xlfn.XLOOKUP(D44,[2]Products!$A$1:$A$100,[2]Products!$D$1:$D$100,,0)</f>
        <v>1</v>
      </c>
      <c r="L44">
        <f>_xlfn.XLOOKUP(D44,[2]Products!$A$1:$A$100,[2]Products!$E$1:$E$100,,0)</f>
        <v>38.804000000000002</v>
      </c>
      <c r="M44">
        <f t="shared" si="0"/>
        <v>194.02</v>
      </c>
      <c r="N44" t="str">
        <f t="shared" si="1"/>
        <v>Lib</v>
      </c>
      <c r="O44" t="str">
        <f t="shared" si="2"/>
        <v>Dark</v>
      </c>
      <c r="P44" t="str">
        <f>_xlfn.XLOOKUP([3]Customers!A44,[3]Customers!$A$1:$A$100,[3]Customers!$I$1:$I$100,,0)</f>
        <v>Yes</v>
      </c>
    </row>
    <row r="45" spans="1:16" x14ac:dyDescent="0.3">
      <c r="A45" t="s">
        <v>128</v>
      </c>
      <c r="B45" s="2">
        <v>44148</v>
      </c>
      <c r="C45" t="s">
        <v>152</v>
      </c>
      <c r="D45" t="s">
        <v>23</v>
      </c>
      <c r="E45">
        <v>4</v>
      </c>
      <c r="F45" t="s">
        <v>252</v>
      </c>
      <c r="G45" t="str">
        <f>IF(_xlfn.XLOOKUP(C45,[1]Customers!$A$1:$A$100,[1]Customers!$C$1:$C$100,,0)=0,"",_xlfn.XLOOKUP(C45,[1]Customers!$A$1:$A$100,[1]Customers!$C$1:$C$100,,0))</f>
        <v>customer@dummy.com</v>
      </c>
      <c r="H45" t="str">
        <f>_xlfn.XLOOKUP(C45,[1]Customers!$A$1:$A$100,[1]Customers!$G$1:$G$100,,0)</f>
        <v>Germany</v>
      </c>
      <c r="I45" t="str">
        <f>_xlfn.XLOOKUP(D45,[2]Products!$A$1:$A$100,[2]Products!$B$1:$B$100,,0)</f>
        <v>Liberica</v>
      </c>
      <c r="J45" t="str">
        <f>_xlfn.XLOOKUP(D45,[2]Products!$A$1:$A$100,[2]Products!$C$1:$C$100,,0)</f>
        <v>L</v>
      </c>
      <c r="K45">
        <f>_xlfn.XLOOKUP(D45,[2]Products!$A$1:$A$100,[2]Products!$D$1:$D$100,,0)</f>
        <v>0.5</v>
      </c>
      <c r="L45">
        <f>_xlfn.XLOOKUP(D45,[2]Products!$A$1:$A$100,[2]Products!$E$1:$E$100,,0)</f>
        <v>11.098000000000001</v>
      </c>
      <c r="M45">
        <f t="shared" si="0"/>
        <v>44.392000000000003</v>
      </c>
      <c r="N45" t="str">
        <f t="shared" si="1"/>
        <v>Lib</v>
      </c>
      <c r="O45" t="str">
        <f t="shared" si="2"/>
        <v>Light</v>
      </c>
      <c r="P45" t="str">
        <f>_xlfn.XLOOKUP([3]Customers!A45,[3]Customers!$A$1:$A$100,[3]Customers!$I$1:$I$100,,0)</f>
        <v>No</v>
      </c>
    </row>
    <row r="46" spans="1:16" x14ac:dyDescent="0.3">
      <c r="A46" t="s">
        <v>130</v>
      </c>
      <c r="B46" s="2">
        <v>44708</v>
      </c>
      <c r="C46" t="s">
        <v>33</v>
      </c>
      <c r="D46" t="s">
        <v>23</v>
      </c>
      <c r="E46">
        <v>3</v>
      </c>
      <c r="F46" t="s">
        <v>71</v>
      </c>
      <c r="G46" t="str">
        <f>IF(_xlfn.XLOOKUP(C46,[1]Customers!$A$1:$A$100,[1]Customers!$C$1:$C$100,,0)=0,"",_xlfn.XLOOKUP(C46,[1]Customers!$A$1:$A$100,[1]Customers!$C$1:$C$100,,0))</f>
        <v>customer@dummy.com</v>
      </c>
      <c r="H46" t="str">
        <f>_xlfn.XLOOKUP(C46,[1]Customers!$A$1:$A$100,[1]Customers!$G$1:$G$100,,0)</f>
        <v>Germany</v>
      </c>
      <c r="I46" t="str">
        <f>_xlfn.XLOOKUP(D46,[2]Products!$A$1:$A$100,[2]Products!$B$1:$B$100,,0)</f>
        <v>Liberica</v>
      </c>
      <c r="J46" t="str">
        <f>_xlfn.XLOOKUP(D46,[2]Products!$A$1:$A$100,[2]Products!$C$1:$C$100,,0)</f>
        <v>L</v>
      </c>
      <c r="K46">
        <f>_xlfn.XLOOKUP(D46,[2]Products!$A$1:$A$100,[2]Products!$D$1:$D$100,,0)</f>
        <v>0.5</v>
      </c>
      <c r="L46">
        <f>_xlfn.XLOOKUP(D46,[2]Products!$A$1:$A$100,[2]Products!$E$1:$E$100,,0)</f>
        <v>11.098000000000001</v>
      </c>
      <c r="M46">
        <f t="shared" si="0"/>
        <v>33.294000000000004</v>
      </c>
      <c r="N46" t="str">
        <f t="shared" si="1"/>
        <v>Lib</v>
      </c>
      <c r="O46" t="str">
        <f t="shared" si="2"/>
        <v>Light</v>
      </c>
      <c r="P46" t="str">
        <f>_xlfn.XLOOKUP([3]Customers!A46,[3]Customers!$A$1:$A$100,[3]Customers!$I$1:$I$100,,0)</f>
        <v>Yes</v>
      </c>
    </row>
    <row r="47" spans="1:16" x14ac:dyDescent="0.3">
      <c r="A47" t="s">
        <v>131</v>
      </c>
      <c r="B47" s="2">
        <v>44693</v>
      </c>
      <c r="C47" t="s">
        <v>231</v>
      </c>
      <c r="D47" t="s">
        <v>41</v>
      </c>
      <c r="E47">
        <v>1</v>
      </c>
      <c r="F47" t="s">
        <v>252</v>
      </c>
      <c r="G47" t="str">
        <f>IF(_xlfn.XLOOKUP(C47,[1]Customers!$A$1:$A$100,[1]Customers!$C$1:$C$100,,0)=0,"",_xlfn.XLOOKUP(C47,[1]Customers!$A$1:$A$100,[1]Customers!$C$1:$C$100,,0))</f>
        <v>customer@dummy.com</v>
      </c>
      <c r="H47" t="str">
        <f>_xlfn.XLOOKUP(C47,[1]Customers!$A$1:$A$100,[1]Customers!$G$1:$G$100,,0)</f>
        <v>Australia</v>
      </c>
      <c r="I47" t="str">
        <f>_xlfn.XLOOKUP(D47,[2]Products!$A$1:$A$100,[2]Products!$B$1:$B$100,,0)</f>
        <v>Arabica</v>
      </c>
      <c r="J47" t="str">
        <f>_xlfn.XLOOKUP(D47,[2]Products!$A$1:$A$100,[2]Products!$C$1:$C$100,,0)</f>
        <v>D</v>
      </c>
      <c r="K47">
        <f>_xlfn.XLOOKUP(D47,[2]Products!$A$1:$A$100,[2]Products!$D$1:$D$100,,0)</f>
        <v>2.5</v>
      </c>
      <c r="L47">
        <f>_xlfn.XLOOKUP(D47,[2]Products!$A$1:$A$100,[2]Products!$E$1:$E$100,,0)</f>
        <v>93.278999999999996</v>
      </c>
      <c r="M47">
        <f t="shared" si="0"/>
        <v>93.278999999999996</v>
      </c>
      <c r="N47" t="str">
        <f t="shared" si="1"/>
        <v>Ara</v>
      </c>
      <c r="O47" t="str">
        <f t="shared" si="2"/>
        <v>Dark</v>
      </c>
      <c r="P47" t="str">
        <f>_xlfn.XLOOKUP([3]Customers!A47,[3]Customers!$A$1:$A$100,[3]Customers!$I$1:$I$100,,0)</f>
        <v>No</v>
      </c>
    </row>
    <row r="48" spans="1:16" x14ac:dyDescent="0.3">
      <c r="A48" t="s">
        <v>133</v>
      </c>
      <c r="B48" s="2">
        <v>44469</v>
      </c>
      <c r="C48" t="s">
        <v>22</v>
      </c>
      <c r="D48" t="s">
        <v>67</v>
      </c>
      <c r="E48">
        <v>2</v>
      </c>
      <c r="F48" t="s">
        <v>16</v>
      </c>
      <c r="G48" t="str">
        <f>IF(_xlfn.XLOOKUP(C48,[1]Customers!$A$1:$A$100,[1]Customers!$C$1:$C$100,,0)=0,"",_xlfn.XLOOKUP(C48,[1]Customers!$A$1:$A$100,[1]Customers!$C$1:$C$100,,0))</f>
        <v>customer@dummy.com</v>
      </c>
      <c r="H48" t="str">
        <f>_xlfn.XLOOKUP(C48,[1]Customers!$A$1:$A$100,[1]Customers!$G$1:$G$100,,0)</f>
        <v>India</v>
      </c>
      <c r="I48" t="str">
        <f>_xlfn.XLOOKUP(D48,[2]Products!$A$1:$A$100,[2]Products!$B$1:$B$100,,0)</f>
        <v>Arabica</v>
      </c>
      <c r="J48" t="str">
        <f>_xlfn.XLOOKUP(D48,[2]Products!$A$1:$A$100,[2]Products!$C$1:$C$100,,0)</f>
        <v>D</v>
      </c>
      <c r="K48">
        <f>_xlfn.XLOOKUP(D48,[2]Products!$A$1:$A$100,[2]Products!$D$1:$D$100,,0)</f>
        <v>2.5</v>
      </c>
      <c r="L48">
        <f>_xlfn.XLOOKUP(D48,[2]Products!$A$1:$A$100,[2]Products!$E$1:$E$100,,0)</f>
        <v>80.778000000000006</v>
      </c>
      <c r="M48">
        <f t="shared" si="0"/>
        <v>161.55600000000001</v>
      </c>
      <c r="N48" t="str">
        <f t="shared" si="1"/>
        <v>Ara</v>
      </c>
      <c r="O48" t="str">
        <f t="shared" si="2"/>
        <v>Dark</v>
      </c>
      <c r="P48" t="str">
        <f>_xlfn.XLOOKUP([3]Customers!A48,[3]Customers!$A$1:$A$100,[3]Customers!$I$1:$I$100,,0)</f>
        <v>Yes</v>
      </c>
    </row>
    <row r="49" spans="1:16" x14ac:dyDescent="0.3">
      <c r="A49" t="s">
        <v>135</v>
      </c>
      <c r="B49" s="2">
        <v>44436</v>
      </c>
      <c r="C49" t="s">
        <v>18</v>
      </c>
      <c r="D49" t="s">
        <v>137</v>
      </c>
      <c r="E49">
        <v>3</v>
      </c>
      <c r="F49" t="s">
        <v>260</v>
      </c>
      <c r="G49" t="str">
        <f>IF(_xlfn.XLOOKUP(C49,[1]Customers!$A$1:$A$100,[1]Customers!$C$1:$C$100,,0)=0,"",_xlfn.XLOOKUP(C49,[1]Customers!$A$1:$A$100,[1]Customers!$C$1:$C$100,,0))</f>
        <v>customer@dummy.com</v>
      </c>
      <c r="H49" t="str">
        <f>_xlfn.XLOOKUP(C49,[1]Customers!$A$1:$A$100,[1]Customers!$G$1:$G$100,,0)</f>
        <v>Canada</v>
      </c>
      <c r="I49" t="str">
        <f>_xlfn.XLOOKUP(D49,[2]Products!$A$1:$A$100,[2]Products!$B$1:$B$100,,0)</f>
        <v>Excelsa</v>
      </c>
      <c r="J49" t="str">
        <f>_xlfn.XLOOKUP(D49,[2]Products!$A$1:$A$100,[2]Products!$C$1:$C$100,,0)</f>
        <v>D</v>
      </c>
      <c r="K49">
        <f>_xlfn.XLOOKUP(D49,[2]Products!$A$1:$A$100,[2]Products!$D$1:$D$100,,0)</f>
        <v>0.2</v>
      </c>
      <c r="L49">
        <f>_xlfn.XLOOKUP(D49,[2]Products!$A$1:$A$100,[2]Products!$E$1:$E$100,,0)</f>
        <v>6.774</v>
      </c>
      <c r="M49">
        <f t="shared" si="0"/>
        <v>20.321999999999999</v>
      </c>
      <c r="N49" t="str">
        <f t="shared" si="1"/>
        <v>Excel</v>
      </c>
      <c r="O49" t="str">
        <f t="shared" si="2"/>
        <v>Dark</v>
      </c>
      <c r="P49" t="str">
        <f>_xlfn.XLOOKUP([3]Customers!A49,[3]Customers!$A$1:$A$100,[3]Customers!$I$1:$I$100,,0)</f>
        <v>No</v>
      </c>
    </row>
    <row r="50" spans="1:16" x14ac:dyDescent="0.3">
      <c r="A50" t="s">
        <v>139</v>
      </c>
      <c r="B50" s="2">
        <v>44279</v>
      </c>
      <c r="C50" t="s">
        <v>195</v>
      </c>
      <c r="D50" t="s">
        <v>59</v>
      </c>
      <c r="E50">
        <v>1</v>
      </c>
      <c r="F50" t="s">
        <v>81</v>
      </c>
      <c r="G50" t="str">
        <f>IF(_xlfn.XLOOKUP(C50,[1]Customers!$A$1:$A$100,[1]Customers!$C$1:$C$100,,0)=0,"",_xlfn.XLOOKUP(C50,[1]Customers!$A$1:$A$100,[1]Customers!$C$1:$C$100,,0))</f>
        <v/>
      </c>
      <c r="H50" t="str">
        <f>_xlfn.XLOOKUP(C50,[1]Customers!$A$1:$A$100,[1]Customers!$G$1:$G$100,,0)</f>
        <v>Germany</v>
      </c>
      <c r="I50" t="str">
        <f>_xlfn.XLOOKUP(D50,[2]Products!$A$1:$A$100,[2]Products!$B$1:$B$100,,0)</f>
        <v>Robusta</v>
      </c>
      <c r="J50" t="str">
        <f>_xlfn.XLOOKUP(D50,[2]Products!$A$1:$A$100,[2]Products!$C$1:$C$100,,0)</f>
        <v>L</v>
      </c>
      <c r="K50">
        <f>_xlfn.XLOOKUP(D50,[2]Products!$A$1:$A$100,[2]Products!$D$1:$D$100,,0)</f>
        <v>0.5</v>
      </c>
      <c r="L50">
        <f>_xlfn.XLOOKUP(D50,[2]Products!$A$1:$A$100,[2]Products!$E$1:$E$100,,0)</f>
        <v>16.89</v>
      </c>
      <c r="M50">
        <f t="shared" si="0"/>
        <v>16.89</v>
      </c>
      <c r="N50" t="str">
        <f t="shared" si="1"/>
        <v>Rob</v>
      </c>
      <c r="O50" t="str">
        <f t="shared" si="2"/>
        <v>Light</v>
      </c>
      <c r="P50" t="str">
        <f>_xlfn.XLOOKUP([3]Customers!A50,[3]Customers!$A$1:$A$100,[3]Customers!$I$1:$I$100,,0)</f>
        <v>No</v>
      </c>
    </row>
    <row r="51" spans="1:16" x14ac:dyDescent="0.3">
      <c r="A51" t="s">
        <v>140</v>
      </c>
      <c r="B51" s="2">
        <v>44054</v>
      </c>
      <c r="C51" t="s">
        <v>232</v>
      </c>
      <c r="D51" t="s">
        <v>59</v>
      </c>
      <c r="E51">
        <v>6</v>
      </c>
      <c r="F51" t="s">
        <v>64</v>
      </c>
      <c r="G51" t="str">
        <f>IF(_xlfn.XLOOKUP(C51,[1]Customers!$A$1:$A$100,[1]Customers!$C$1:$C$100,,0)=0,"",_xlfn.XLOOKUP(C51,[1]Customers!$A$1:$A$100,[1]Customers!$C$1:$C$100,,0))</f>
        <v>customer@dummy.com</v>
      </c>
      <c r="H51" t="str">
        <f>_xlfn.XLOOKUP(C51,[1]Customers!$A$1:$A$100,[1]Customers!$G$1:$G$100,,0)</f>
        <v>Germany</v>
      </c>
      <c r="I51" t="str">
        <f>_xlfn.XLOOKUP(D51,[2]Products!$A$1:$A$100,[2]Products!$B$1:$B$100,,0)</f>
        <v>Robusta</v>
      </c>
      <c r="J51" t="str">
        <f>_xlfn.XLOOKUP(D51,[2]Products!$A$1:$A$100,[2]Products!$C$1:$C$100,,0)</f>
        <v>L</v>
      </c>
      <c r="K51">
        <f>_xlfn.XLOOKUP(D51,[2]Products!$A$1:$A$100,[2]Products!$D$1:$D$100,,0)</f>
        <v>0.5</v>
      </c>
      <c r="L51">
        <f>_xlfn.XLOOKUP(D51,[2]Products!$A$1:$A$100,[2]Products!$E$1:$E$100,,0)</f>
        <v>16.89</v>
      </c>
      <c r="M51">
        <f t="shared" si="0"/>
        <v>101.34</v>
      </c>
      <c r="N51" t="str">
        <f t="shared" si="1"/>
        <v>Rob</v>
      </c>
      <c r="O51" t="str">
        <f t="shared" si="2"/>
        <v>Light</v>
      </c>
      <c r="P51" t="str">
        <f>_xlfn.XLOOKUP([3]Customers!A51,[3]Customers!$A$1:$A$100,[3]Customers!$I$1:$I$100,,0)</f>
        <v>Yes</v>
      </c>
    </row>
    <row r="52" spans="1:16" x14ac:dyDescent="0.3">
      <c r="A52" t="s">
        <v>141</v>
      </c>
      <c r="B52" s="2">
        <v>45116</v>
      </c>
      <c r="C52" t="s">
        <v>40</v>
      </c>
      <c r="D52" t="s">
        <v>74</v>
      </c>
      <c r="E52">
        <v>3</v>
      </c>
      <c r="F52" t="s">
        <v>115</v>
      </c>
      <c r="G52" t="str">
        <f>IF(_xlfn.XLOOKUP(C52,[1]Customers!$A$1:$A$100,[1]Customers!$C$1:$C$100,,0)=0,"",_xlfn.XLOOKUP(C52,[1]Customers!$A$1:$A$100,[1]Customers!$C$1:$C$100,,0))</f>
        <v>customer@dummy.com</v>
      </c>
      <c r="H52" t="str">
        <f>_xlfn.XLOOKUP(C52,[1]Customers!$A$1:$A$100,[1]Customers!$G$1:$G$100,,0)</f>
        <v>Canada</v>
      </c>
      <c r="I52" t="str">
        <f>_xlfn.XLOOKUP(D52,[2]Products!$A$1:$A$100,[2]Products!$B$1:$B$100,,0)</f>
        <v>Excelsa</v>
      </c>
      <c r="J52" t="str">
        <f>_xlfn.XLOOKUP(D52,[2]Products!$A$1:$A$100,[2]Products!$C$1:$C$100,,0)</f>
        <v>L</v>
      </c>
      <c r="K52">
        <f>_xlfn.XLOOKUP(D52,[2]Products!$A$1:$A$100,[2]Products!$D$1:$D$100,,0)</f>
        <v>0.2</v>
      </c>
      <c r="L52">
        <f>_xlfn.XLOOKUP(D52,[2]Products!$A$1:$A$100,[2]Products!$E$1:$E$100,,0)</f>
        <v>6.1980000000000004</v>
      </c>
      <c r="M52">
        <f t="shared" si="0"/>
        <v>18.594000000000001</v>
      </c>
      <c r="N52" t="str">
        <f t="shared" si="1"/>
        <v>Excel</v>
      </c>
      <c r="O52" t="str">
        <f t="shared" si="2"/>
        <v>Light</v>
      </c>
      <c r="P52" t="str">
        <f>_xlfn.XLOOKUP([3]Customers!A52,[3]Customers!$A$1:$A$100,[3]Customers!$I$1:$I$100,,0)</f>
        <v>No</v>
      </c>
    </row>
    <row r="53" spans="1:16" x14ac:dyDescent="0.3">
      <c r="A53" t="s">
        <v>143</v>
      </c>
      <c r="B53" s="2">
        <v>45331</v>
      </c>
      <c r="C53" t="s">
        <v>212</v>
      </c>
      <c r="D53" t="s">
        <v>51</v>
      </c>
      <c r="E53">
        <v>3</v>
      </c>
      <c r="F53" t="s">
        <v>255</v>
      </c>
      <c r="G53" t="str">
        <f>IF(_xlfn.XLOOKUP(C53,[1]Customers!$A$1:$A$100,[1]Customers!$C$1:$C$100,,0)=0,"",_xlfn.XLOOKUP(C53,[1]Customers!$A$1:$A$100,[1]Customers!$C$1:$C$100,,0))</f>
        <v>customer@dummy.com</v>
      </c>
      <c r="H53" t="str">
        <f>_xlfn.XLOOKUP(C53,[1]Customers!$A$1:$A$100,[1]Customers!$G$1:$G$100,,0)</f>
        <v>UK</v>
      </c>
      <c r="I53" t="str">
        <f>_xlfn.XLOOKUP(D53,[2]Products!$A$1:$A$100,[2]Products!$B$1:$B$100,,0)</f>
        <v>Robusta</v>
      </c>
      <c r="J53" t="str">
        <f>_xlfn.XLOOKUP(D53,[2]Products!$A$1:$A$100,[2]Products!$C$1:$C$100,,0)</f>
        <v>M</v>
      </c>
      <c r="K53">
        <f>_xlfn.XLOOKUP(D53,[2]Products!$A$1:$A$100,[2]Products!$D$1:$D$100,,0)</f>
        <v>1</v>
      </c>
      <c r="L53">
        <f>_xlfn.XLOOKUP(D53,[2]Products!$A$1:$A$100,[2]Products!$E$1:$E$100,,0)</f>
        <v>38.543999999999997</v>
      </c>
      <c r="M53">
        <f t="shared" si="0"/>
        <v>115.63199999999999</v>
      </c>
      <c r="N53" t="str">
        <f t="shared" si="1"/>
        <v>Rob</v>
      </c>
      <c r="O53" t="str">
        <f t="shared" si="2"/>
        <v>Medium</v>
      </c>
      <c r="P53" t="str">
        <f>_xlfn.XLOOKUP([3]Customers!A53,[3]Customers!$A$1:$A$100,[3]Customers!$I$1:$I$100,,0)</f>
        <v>No</v>
      </c>
    </row>
    <row r="54" spans="1:16" x14ac:dyDescent="0.3">
      <c r="A54" t="s">
        <v>145</v>
      </c>
      <c r="B54" s="2">
        <v>45075</v>
      </c>
      <c r="C54" t="s">
        <v>233</v>
      </c>
      <c r="D54" t="s">
        <v>23</v>
      </c>
      <c r="E54">
        <v>6</v>
      </c>
      <c r="F54" t="s">
        <v>255</v>
      </c>
      <c r="G54" t="str">
        <f>IF(_xlfn.XLOOKUP(C54,[1]Customers!$A$1:$A$100,[1]Customers!$C$1:$C$100,,0)=0,"",_xlfn.XLOOKUP(C54,[1]Customers!$A$1:$A$100,[1]Customers!$C$1:$C$100,,0))</f>
        <v>customer@dummy.com</v>
      </c>
      <c r="H54" t="str">
        <f>_xlfn.XLOOKUP(C54,[1]Customers!$A$1:$A$100,[1]Customers!$G$1:$G$100,,0)</f>
        <v>Canada</v>
      </c>
      <c r="I54" t="str">
        <f>_xlfn.XLOOKUP(D54,[2]Products!$A$1:$A$100,[2]Products!$B$1:$B$100,,0)</f>
        <v>Liberica</v>
      </c>
      <c r="J54" t="str">
        <f>_xlfn.XLOOKUP(D54,[2]Products!$A$1:$A$100,[2]Products!$C$1:$C$100,,0)</f>
        <v>L</v>
      </c>
      <c r="K54">
        <f>_xlfn.XLOOKUP(D54,[2]Products!$A$1:$A$100,[2]Products!$D$1:$D$100,,0)</f>
        <v>0.5</v>
      </c>
      <c r="L54">
        <f>_xlfn.XLOOKUP(D54,[2]Products!$A$1:$A$100,[2]Products!$E$1:$E$100,,0)</f>
        <v>11.098000000000001</v>
      </c>
      <c r="M54">
        <f t="shared" si="0"/>
        <v>66.588000000000008</v>
      </c>
      <c r="N54" t="str">
        <f t="shared" si="1"/>
        <v>Lib</v>
      </c>
      <c r="O54" t="str">
        <f t="shared" si="2"/>
        <v>Light</v>
      </c>
      <c r="P54" t="str">
        <f>_xlfn.XLOOKUP([3]Customers!A54,[3]Customers!$A$1:$A$100,[3]Customers!$I$1:$I$100,,0)</f>
        <v>Yes</v>
      </c>
    </row>
    <row r="55" spans="1:16" x14ac:dyDescent="0.3">
      <c r="A55" t="s">
        <v>147</v>
      </c>
      <c r="B55" s="2">
        <v>44565</v>
      </c>
      <c r="C55" t="s">
        <v>55</v>
      </c>
      <c r="D55" t="s">
        <v>63</v>
      </c>
      <c r="E55">
        <v>5</v>
      </c>
      <c r="F55" t="s">
        <v>250</v>
      </c>
      <c r="G55" t="str">
        <f>IF(_xlfn.XLOOKUP(C55,[1]Customers!$A$1:$A$100,[1]Customers!$C$1:$C$100,,0)=0,"",_xlfn.XLOOKUP(C55,[1]Customers!$A$1:$A$100,[1]Customers!$C$1:$C$100,,0))</f>
        <v>customer@dummy.com</v>
      </c>
      <c r="H55" t="str">
        <f>_xlfn.XLOOKUP(C55,[1]Customers!$A$1:$A$100,[1]Customers!$G$1:$G$100,,0)</f>
        <v>UK</v>
      </c>
      <c r="I55" t="str">
        <f>_xlfn.XLOOKUP(D55,[2]Products!$A$1:$A$100,[2]Products!$B$1:$B$100,,0)</f>
        <v>Arabica</v>
      </c>
      <c r="J55" t="str">
        <f>_xlfn.XLOOKUP(D55,[2]Products!$A$1:$A$100,[2]Products!$C$1:$C$100,,0)</f>
        <v>L</v>
      </c>
      <c r="K55">
        <f>_xlfn.XLOOKUP(D55,[2]Products!$A$1:$A$100,[2]Products!$D$1:$D$100,,0)</f>
        <v>2.5</v>
      </c>
      <c r="L55">
        <f>_xlfn.XLOOKUP(D55,[2]Products!$A$1:$A$100,[2]Products!$E$1:$E$100,,0)</f>
        <v>61.25</v>
      </c>
      <c r="M55">
        <f t="shared" si="0"/>
        <v>306.25</v>
      </c>
      <c r="N55" t="str">
        <f t="shared" si="1"/>
        <v>Ara</v>
      </c>
      <c r="O55" t="str">
        <f t="shared" si="2"/>
        <v>Light</v>
      </c>
      <c r="P55" t="str">
        <f>_xlfn.XLOOKUP([3]Customers!A55,[3]Customers!$A$1:$A$100,[3]Customers!$I$1:$I$100,,0)</f>
        <v>No</v>
      </c>
    </row>
    <row r="56" spans="1:16" x14ac:dyDescent="0.3">
      <c r="A56" t="s">
        <v>148</v>
      </c>
      <c r="B56" s="2">
        <v>44444</v>
      </c>
      <c r="C56" t="s">
        <v>234</v>
      </c>
      <c r="D56" t="s">
        <v>67</v>
      </c>
      <c r="E56">
        <v>2</v>
      </c>
      <c r="F56" t="s">
        <v>64</v>
      </c>
      <c r="G56" t="str">
        <f>IF(_xlfn.XLOOKUP(C56,[1]Customers!$A$1:$A$100,[1]Customers!$C$1:$C$100,,0)=0,"",_xlfn.XLOOKUP(C56,[1]Customers!$A$1:$A$100,[1]Customers!$C$1:$C$100,,0))</f>
        <v>customer@dummy.com</v>
      </c>
      <c r="H56" t="str">
        <f>_xlfn.XLOOKUP(C56,[1]Customers!$A$1:$A$100,[1]Customers!$G$1:$G$100,,0)</f>
        <v>Germany</v>
      </c>
      <c r="I56" t="str">
        <f>_xlfn.XLOOKUP(D56,[2]Products!$A$1:$A$100,[2]Products!$B$1:$B$100,,0)</f>
        <v>Arabica</v>
      </c>
      <c r="J56" t="str">
        <f>_xlfn.XLOOKUP(D56,[2]Products!$A$1:$A$100,[2]Products!$C$1:$C$100,,0)</f>
        <v>D</v>
      </c>
      <c r="K56">
        <f>_xlfn.XLOOKUP(D56,[2]Products!$A$1:$A$100,[2]Products!$D$1:$D$100,,0)</f>
        <v>2.5</v>
      </c>
      <c r="L56">
        <f>_xlfn.XLOOKUP(D56,[2]Products!$A$1:$A$100,[2]Products!$E$1:$E$100,,0)</f>
        <v>80.778000000000006</v>
      </c>
      <c r="M56">
        <f t="shared" si="0"/>
        <v>161.55600000000001</v>
      </c>
      <c r="N56" t="str">
        <f t="shared" si="1"/>
        <v>Ara</v>
      </c>
      <c r="O56" t="str">
        <f t="shared" si="2"/>
        <v>Dark</v>
      </c>
      <c r="P56" t="str">
        <f>_xlfn.XLOOKUP([3]Customers!A56,[3]Customers!$A$1:$A$100,[3]Customers!$I$1:$I$100,,0)</f>
        <v>No</v>
      </c>
    </row>
    <row r="57" spans="1:16" x14ac:dyDescent="0.3">
      <c r="A57" t="s">
        <v>149</v>
      </c>
      <c r="B57" s="2">
        <v>43939</v>
      </c>
      <c r="C57" t="s">
        <v>44</v>
      </c>
      <c r="D57" t="s">
        <v>45</v>
      </c>
      <c r="E57">
        <v>5</v>
      </c>
      <c r="F57" t="s">
        <v>35</v>
      </c>
      <c r="G57" t="str">
        <f>IF(_xlfn.XLOOKUP(C57,[1]Customers!$A$1:$A$100,[1]Customers!$C$1:$C$100,,0)=0,"",_xlfn.XLOOKUP(C57,[1]Customers!$A$1:$A$100,[1]Customers!$C$1:$C$100,,0))</f>
        <v>customer@dummy.com</v>
      </c>
      <c r="H57" t="str">
        <f>_xlfn.XLOOKUP(C57,[1]Customers!$A$1:$A$100,[1]Customers!$G$1:$G$100,,0)</f>
        <v>UK</v>
      </c>
      <c r="I57" t="str">
        <f>_xlfn.XLOOKUP(D57,[2]Products!$A$1:$A$100,[2]Products!$B$1:$B$100,,0)</f>
        <v>Arabica</v>
      </c>
      <c r="J57" t="str">
        <f>_xlfn.XLOOKUP(D57,[2]Products!$A$1:$A$100,[2]Products!$C$1:$C$100,,0)</f>
        <v>M</v>
      </c>
      <c r="K57">
        <f>_xlfn.XLOOKUP(D57,[2]Products!$A$1:$A$100,[2]Products!$D$1:$D$100,,0)</f>
        <v>1</v>
      </c>
      <c r="L57">
        <f>_xlfn.XLOOKUP(D57,[2]Products!$A$1:$A$100,[2]Products!$E$1:$E$100,,0)</f>
        <v>30.213999999999999</v>
      </c>
      <c r="M57">
        <f t="shared" si="0"/>
        <v>151.07</v>
      </c>
      <c r="N57" t="str">
        <f t="shared" si="1"/>
        <v>Ara</v>
      </c>
      <c r="O57" t="str">
        <f t="shared" si="2"/>
        <v>Medium</v>
      </c>
      <c r="P57" t="str">
        <f>_xlfn.XLOOKUP([3]Customers!A57,[3]Customers!$A$1:$A$100,[3]Customers!$I$1:$I$100,,0)</f>
        <v>Yes</v>
      </c>
    </row>
    <row r="58" spans="1:16" x14ac:dyDescent="0.3">
      <c r="A58" t="s">
        <v>151</v>
      </c>
      <c r="B58" s="2">
        <v>43854</v>
      </c>
      <c r="C58" t="s">
        <v>235</v>
      </c>
      <c r="D58" t="s">
        <v>51</v>
      </c>
      <c r="E58">
        <v>5</v>
      </c>
      <c r="F58" t="s">
        <v>255</v>
      </c>
      <c r="G58" t="str">
        <f>IF(_xlfn.XLOOKUP(C58,[1]Customers!$A$1:$A$100,[1]Customers!$C$1:$C$100,,0)=0,"",_xlfn.XLOOKUP(C58,[1]Customers!$A$1:$A$100,[1]Customers!$C$1:$C$100,,0))</f>
        <v>customer@dummy.com</v>
      </c>
      <c r="H58" t="str">
        <f>_xlfn.XLOOKUP(C58,[1]Customers!$A$1:$A$100,[1]Customers!$G$1:$G$100,,0)</f>
        <v>Australia</v>
      </c>
      <c r="I58" t="str">
        <f>_xlfn.XLOOKUP(D58,[2]Products!$A$1:$A$100,[2]Products!$B$1:$B$100,,0)</f>
        <v>Robusta</v>
      </c>
      <c r="J58" t="str">
        <f>_xlfn.XLOOKUP(D58,[2]Products!$A$1:$A$100,[2]Products!$C$1:$C$100,,0)</f>
        <v>M</v>
      </c>
      <c r="K58">
        <f>_xlfn.XLOOKUP(D58,[2]Products!$A$1:$A$100,[2]Products!$D$1:$D$100,,0)</f>
        <v>1</v>
      </c>
      <c r="L58">
        <f>_xlfn.XLOOKUP(D58,[2]Products!$A$1:$A$100,[2]Products!$E$1:$E$100,,0)</f>
        <v>38.543999999999997</v>
      </c>
      <c r="M58">
        <f t="shared" si="0"/>
        <v>192.71999999999997</v>
      </c>
      <c r="N58" t="str">
        <f t="shared" si="1"/>
        <v>Rob</v>
      </c>
      <c r="O58" t="str">
        <f t="shared" si="2"/>
        <v>Medium</v>
      </c>
      <c r="P58" t="str">
        <f>_xlfn.XLOOKUP([3]Customers!A58,[3]Customers!$A$1:$A$100,[3]Customers!$I$1:$I$100,,0)</f>
        <v>Yes</v>
      </c>
    </row>
    <row r="59" spans="1:16" x14ac:dyDescent="0.3">
      <c r="A59" t="s">
        <v>153</v>
      </c>
      <c r="B59" s="2">
        <v>44418</v>
      </c>
      <c r="C59" t="s">
        <v>236</v>
      </c>
      <c r="D59" t="s">
        <v>56</v>
      </c>
      <c r="E59">
        <v>6</v>
      </c>
      <c r="F59" t="s">
        <v>252</v>
      </c>
      <c r="G59" t="str">
        <f>IF(_xlfn.XLOOKUP(C59,[1]Customers!$A$1:$A$100,[1]Customers!$C$1:$C$100,,0)=0,"",_xlfn.XLOOKUP(C59,[1]Customers!$A$1:$A$100,[1]Customers!$C$1:$C$100,,0))</f>
        <v>customer@dummy.com</v>
      </c>
      <c r="H59" t="str">
        <f>_xlfn.XLOOKUP(C59,[1]Customers!$A$1:$A$100,[1]Customers!$G$1:$G$100,,0)</f>
        <v>UK</v>
      </c>
      <c r="I59" t="str">
        <f>_xlfn.XLOOKUP(D59,[2]Products!$A$1:$A$100,[2]Products!$B$1:$B$100,,0)</f>
        <v>Robusta</v>
      </c>
      <c r="J59" t="str">
        <f>_xlfn.XLOOKUP(D59,[2]Products!$A$1:$A$100,[2]Products!$C$1:$C$100,,0)</f>
        <v>D</v>
      </c>
      <c r="K59">
        <f>_xlfn.XLOOKUP(D59,[2]Products!$A$1:$A$100,[2]Products!$D$1:$D$100,,0)</f>
        <v>2.5</v>
      </c>
      <c r="L59">
        <f>_xlfn.XLOOKUP(D59,[2]Products!$A$1:$A$100,[2]Products!$E$1:$E$100,,0)</f>
        <v>80.451999999999998</v>
      </c>
      <c r="M59">
        <f t="shared" si="0"/>
        <v>482.71199999999999</v>
      </c>
      <c r="N59" t="str">
        <f t="shared" si="1"/>
        <v>Rob</v>
      </c>
      <c r="O59" t="str">
        <f t="shared" si="2"/>
        <v>Dark</v>
      </c>
      <c r="P59" t="str">
        <f>_xlfn.XLOOKUP([3]Customers!A59,[3]Customers!$A$1:$A$100,[3]Customers!$I$1:$I$100,,0)</f>
        <v>No</v>
      </c>
    </row>
    <row r="60" spans="1:16" x14ac:dyDescent="0.3">
      <c r="A60" t="s">
        <v>155</v>
      </c>
      <c r="B60" s="2">
        <v>44586</v>
      </c>
      <c r="C60" t="s">
        <v>237</v>
      </c>
      <c r="D60" t="s">
        <v>70</v>
      </c>
      <c r="E60">
        <v>6</v>
      </c>
      <c r="F60" t="s">
        <v>261</v>
      </c>
      <c r="G60" t="str">
        <f>IF(_xlfn.XLOOKUP(C60,[1]Customers!$A$1:$A$100,[1]Customers!$C$1:$C$100,,0)=0,"",_xlfn.XLOOKUP(C60,[1]Customers!$A$1:$A$100,[1]Customers!$C$1:$C$100,,0))</f>
        <v>customer@dummy.com</v>
      </c>
      <c r="H60" t="str">
        <f>_xlfn.XLOOKUP(C60,[1]Customers!$A$1:$A$100,[1]Customers!$G$1:$G$100,,0)</f>
        <v>India</v>
      </c>
      <c r="I60" t="str">
        <f>_xlfn.XLOOKUP(D60,[2]Products!$A$1:$A$100,[2]Products!$B$1:$B$100,,0)</f>
        <v>Excelsa</v>
      </c>
      <c r="J60" t="str">
        <f>_xlfn.XLOOKUP(D60,[2]Products!$A$1:$A$100,[2]Products!$C$1:$C$100,,0)</f>
        <v>M</v>
      </c>
      <c r="K60">
        <f>_xlfn.XLOOKUP(D60,[2]Products!$A$1:$A$100,[2]Products!$D$1:$D$100,,0)</f>
        <v>2.5</v>
      </c>
      <c r="L60">
        <f>_xlfn.XLOOKUP(D60,[2]Products!$A$1:$A$100,[2]Products!$E$1:$E$100,,0)</f>
        <v>88.546999999999997</v>
      </c>
      <c r="M60">
        <f t="shared" si="0"/>
        <v>531.28199999999993</v>
      </c>
      <c r="N60" t="str">
        <f t="shared" si="1"/>
        <v>Excel</v>
      </c>
      <c r="O60" t="str">
        <f t="shared" si="2"/>
        <v>Medium</v>
      </c>
      <c r="P60" t="str">
        <f>_xlfn.XLOOKUP([3]Customers!A60,[3]Customers!$A$1:$A$100,[3]Customers!$I$1:$I$100,,0)</f>
        <v>No</v>
      </c>
    </row>
    <row r="61" spans="1:16" x14ac:dyDescent="0.3">
      <c r="A61" t="s">
        <v>156</v>
      </c>
      <c r="B61" s="2">
        <v>44108</v>
      </c>
      <c r="C61" t="s">
        <v>238</v>
      </c>
      <c r="D61" t="s">
        <v>15</v>
      </c>
      <c r="E61">
        <v>4</v>
      </c>
      <c r="F61" t="s">
        <v>16</v>
      </c>
      <c r="G61" t="str">
        <f>IF(_xlfn.XLOOKUP(C61,[1]Customers!$A$1:$A$100,[1]Customers!$C$1:$C$100,,0)=0,"",_xlfn.XLOOKUP(C61,[1]Customers!$A$1:$A$100,[1]Customers!$C$1:$C$100,,0))</f>
        <v>customer@dummy.com</v>
      </c>
      <c r="H61" t="str">
        <f>_xlfn.XLOOKUP(C61,[1]Customers!$A$1:$A$100,[1]Customers!$G$1:$G$100,,0)</f>
        <v>UK</v>
      </c>
      <c r="I61" t="str">
        <f>_xlfn.XLOOKUP(D61,[2]Products!$A$1:$A$100,[2]Products!$B$1:$B$100,,0)</f>
        <v>Robusta</v>
      </c>
      <c r="J61" t="str">
        <f>_xlfn.XLOOKUP(D61,[2]Products!$A$1:$A$100,[2]Products!$C$1:$C$100,,0)</f>
        <v>M</v>
      </c>
      <c r="K61">
        <f>_xlfn.XLOOKUP(D61,[2]Products!$A$1:$A$100,[2]Products!$D$1:$D$100,,0)</f>
        <v>1</v>
      </c>
      <c r="L61">
        <f>_xlfn.XLOOKUP(D61,[2]Products!$A$1:$A$100,[2]Products!$E$1:$E$100,,0)</f>
        <v>29.852</v>
      </c>
      <c r="M61">
        <f t="shared" si="0"/>
        <v>119.408</v>
      </c>
      <c r="N61" t="str">
        <f t="shared" si="1"/>
        <v>Rob</v>
      </c>
      <c r="O61" t="str">
        <f t="shared" si="2"/>
        <v>Medium</v>
      </c>
      <c r="P61" t="str">
        <f>_xlfn.XLOOKUP([3]Customers!A61,[3]Customers!$A$1:$A$100,[3]Customers!$I$1:$I$100,,0)</f>
        <v>No</v>
      </c>
    </row>
    <row r="62" spans="1:16" x14ac:dyDescent="0.3">
      <c r="A62" t="s">
        <v>158</v>
      </c>
      <c r="B62" s="2">
        <v>43808</v>
      </c>
      <c r="C62" t="s">
        <v>239</v>
      </c>
      <c r="D62" t="s">
        <v>15</v>
      </c>
      <c r="E62">
        <v>1</v>
      </c>
      <c r="F62" t="s">
        <v>138</v>
      </c>
      <c r="G62" t="str">
        <f>IF(_xlfn.XLOOKUP(C62,[1]Customers!$A$1:$A$100,[1]Customers!$C$1:$C$100,,0)=0,"",_xlfn.XLOOKUP(C62,[1]Customers!$A$1:$A$100,[1]Customers!$C$1:$C$100,,0))</f>
        <v>customer@dummy.com</v>
      </c>
      <c r="H62" t="str">
        <f>_xlfn.XLOOKUP(C62,[1]Customers!$A$1:$A$100,[1]Customers!$G$1:$G$100,,0)</f>
        <v>Australia</v>
      </c>
      <c r="I62" t="str">
        <f>_xlfn.XLOOKUP(D62,[2]Products!$A$1:$A$100,[2]Products!$B$1:$B$100,,0)</f>
        <v>Robusta</v>
      </c>
      <c r="J62" t="str">
        <f>_xlfn.XLOOKUP(D62,[2]Products!$A$1:$A$100,[2]Products!$C$1:$C$100,,0)</f>
        <v>M</v>
      </c>
      <c r="K62">
        <f>_xlfn.XLOOKUP(D62,[2]Products!$A$1:$A$100,[2]Products!$D$1:$D$100,,0)</f>
        <v>1</v>
      </c>
      <c r="L62">
        <f>_xlfn.XLOOKUP(D62,[2]Products!$A$1:$A$100,[2]Products!$E$1:$E$100,,0)</f>
        <v>29.852</v>
      </c>
      <c r="M62">
        <f t="shared" si="0"/>
        <v>29.852</v>
      </c>
      <c r="N62" t="str">
        <f t="shared" si="1"/>
        <v>Rob</v>
      </c>
      <c r="O62" t="str">
        <f t="shared" si="2"/>
        <v>Medium</v>
      </c>
      <c r="P62" t="str">
        <f>_xlfn.XLOOKUP([3]Customers!A62,[3]Customers!$A$1:$A$100,[3]Customers!$I$1:$I$100,,0)</f>
        <v>Yes</v>
      </c>
    </row>
    <row r="63" spans="1:16" x14ac:dyDescent="0.3">
      <c r="A63" t="s">
        <v>159</v>
      </c>
      <c r="B63" s="2">
        <v>44177</v>
      </c>
      <c r="C63" t="s">
        <v>168</v>
      </c>
      <c r="D63" t="s">
        <v>34</v>
      </c>
      <c r="E63">
        <v>3</v>
      </c>
      <c r="F63" t="s">
        <v>90</v>
      </c>
      <c r="G63" t="str">
        <f>IF(_xlfn.XLOOKUP(C63,[1]Customers!$A$1:$A$100,[1]Customers!$C$1:$C$100,,0)=0,"",_xlfn.XLOOKUP(C63,[1]Customers!$A$1:$A$100,[1]Customers!$C$1:$C$100,,0))</f>
        <v>customer@dummy.com</v>
      </c>
      <c r="H63" t="str">
        <f>_xlfn.XLOOKUP(C63,[1]Customers!$A$1:$A$100,[1]Customers!$G$1:$G$100,,0)</f>
        <v>UK</v>
      </c>
      <c r="I63" t="str">
        <f>_xlfn.XLOOKUP(D63,[2]Products!$A$1:$A$100,[2]Products!$B$1:$B$100,,0)</f>
        <v>Excelsa</v>
      </c>
      <c r="J63" t="str">
        <f>_xlfn.XLOOKUP(D63,[2]Products!$A$1:$A$100,[2]Products!$C$1:$C$100,,0)</f>
        <v>L</v>
      </c>
      <c r="K63">
        <f>_xlfn.XLOOKUP(D63,[2]Products!$A$1:$A$100,[2]Products!$D$1:$D$100,,0)</f>
        <v>0.5</v>
      </c>
      <c r="L63">
        <f>_xlfn.XLOOKUP(D63,[2]Products!$A$1:$A$100,[2]Products!$E$1:$E$100,,0)</f>
        <v>19.291</v>
      </c>
      <c r="M63">
        <f t="shared" si="0"/>
        <v>57.873000000000005</v>
      </c>
      <c r="N63" t="str">
        <f t="shared" si="1"/>
        <v>Excel</v>
      </c>
      <c r="O63" t="str">
        <f t="shared" si="2"/>
        <v>Light</v>
      </c>
      <c r="P63" t="str">
        <f>_xlfn.XLOOKUP([3]Customers!A63,[3]Customers!$A$1:$A$100,[3]Customers!$I$1:$I$100,,0)</f>
        <v>Yes</v>
      </c>
    </row>
    <row r="64" spans="1:16" x14ac:dyDescent="0.3">
      <c r="A64" t="s">
        <v>161</v>
      </c>
      <c r="B64" s="2">
        <v>45231</v>
      </c>
      <c r="C64" t="s">
        <v>240</v>
      </c>
      <c r="D64" t="s">
        <v>67</v>
      </c>
      <c r="E64">
        <v>1</v>
      </c>
      <c r="F64" t="s">
        <v>262</v>
      </c>
      <c r="G64" t="str">
        <f>IF(_xlfn.XLOOKUP(C64,[1]Customers!$A$1:$A$100,[1]Customers!$C$1:$C$100,,0)=0,"",_xlfn.XLOOKUP(C64,[1]Customers!$A$1:$A$100,[1]Customers!$C$1:$C$100,,0))</f>
        <v>customer@dummy.com</v>
      </c>
      <c r="H64" t="str">
        <f>_xlfn.XLOOKUP(C64,[1]Customers!$A$1:$A$100,[1]Customers!$G$1:$G$100,,0)</f>
        <v>UK</v>
      </c>
      <c r="I64" t="str">
        <f>_xlfn.XLOOKUP(D64,[2]Products!$A$1:$A$100,[2]Products!$B$1:$B$100,,0)</f>
        <v>Arabica</v>
      </c>
      <c r="J64" t="str">
        <f>_xlfn.XLOOKUP(D64,[2]Products!$A$1:$A$100,[2]Products!$C$1:$C$100,,0)</f>
        <v>D</v>
      </c>
      <c r="K64">
        <f>_xlfn.XLOOKUP(D64,[2]Products!$A$1:$A$100,[2]Products!$D$1:$D$100,,0)</f>
        <v>2.5</v>
      </c>
      <c r="L64">
        <f>_xlfn.XLOOKUP(D64,[2]Products!$A$1:$A$100,[2]Products!$E$1:$E$100,,0)</f>
        <v>80.778000000000006</v>
      </c>
      <c r="M64">
        <f t="shared" si="0"/>
        <v>80.778000000000006</v>
      </c>
      <c r="N64" t="str">
        <f t="shared" si="1"/>
        <v>Ara</v>
      </c>
      <c r="O64" t="str">
        <f t="shared" si="2"/>
        <v>Dark</v>
      </c>
      <c r="P64" t="str">
        <f>_xlfn.XLOOKUP([3]Customers!A64,[3]Customers!$A$1:$A$100,[3]Customers!$I$1:$I$100,,0)</f>
        <v>Yes</v>
      </c>
    </row>
    <row r="65" spans="1:16" x14ac:dyDescent="0.3">
      <c r="A65" t="s">
        <v>162</v>
      </c>
      <c r="B65" s="2">
        <v>43523</v>
      </c>
      <c r="C65" t="s">
        <v>121</v>
      </c>
      <c r="D65" t="s">
        <v>74</v>
      </c>
      <c r="E65">
        <v>3</v>
      </c>
      <c r="F65" t="s">
        <v>253</v>
      </c>
      <c r="G65" t="str">
        <f>IF(_xlfn.XLOOKUP(C65,[1]Customers!$A$1:$A$100,[1]Customers!$C$1:$C$100,,0)=0,"",_xlfn.XLOOKUP(C65,[1]Customers!$A$1:$A$100,[1]Customers!$C$1:$C$100,,0))</f>
        <v>customer@dummy.com</v>
      </c>
      <c r="H65" t="str">
        <f>_xlfn.XLOOKUP(C65,[1]Customers!$A$1:$A$100,[1]Customers!$G$1:$G$100,,0)</f>
        <v>USA</v>
      </c>
      <c r="I65" t="str">
        <f>_xlfn.XLOOKUP(D65,[2]Products!$A$1:$A$100,[2]Products!$B$1:$B$100,,0)</f>
        <v>Excelsa</v>
      </c>
      <c r="J65" t="str">
        <f>_xlfn.XLOOKUP(D65,[2]Products!$A$1:$A$100,[2]Products!$C$1:$C$100,,0)</f>
        <v>L</v>
      </c>
      <c r="K65">
        <f>_xlfn.XLOOKUP(D65,[2]Products!$A$1:$A$100,[2]Products!$D$1:$D$100,,0)</f>
        <v>0.2</v>
      </c>
      <c r="L65">
        <f>_xlfn.XLOOKUP(D65,[2]Products!$A$1:$A$100,[2]Products!$E$1:$E$100,,0)</f>
        <v>6.1980000000000004</v>
      </c>
      <c r="M65">
        <f t="shared" si="0"/>
        <v>18.594000000000001</v>
      </c>
      <c r="N65" t="str">
        <f t="shared" si="1"/>
        <v>Excel</v>
      </c>
      <c r="O65" t="str">
        <f t="shared" si="2"/>
        <v>Light</v>
      </c>
      <c r="P65" t="str">
        <f>_xlfn.XLOOKUP([3]Customers!A65,[3]Customers!$A$1:$A$100,[3]Customers!$I$1:$I$100,,0)</f>
        <v>Yes</v>
      </c>
    </row>
    <row r="66" spans="1:16" x14ac:dyDescent="0.3">
      <c r="A66" t="s">
        <v>164</v>
      </c>
      <c r="B66" s="2">
        <v>44513</v>
      </c>
      <c r="C66" t="s">
        <v>83</v>
      </c>
      <c r="D66" t="s">
        <v>127</v>
      </c>
      <c r="E66">
        <v>6</v>
      </c>
      <c r="F66" t="s">
        <v>261</v>
      </c>
      <c r="G66" t="str">
        <f>IF(_xlfn.XLOOKUP(C66,[1]Customers!$A$1:$A$100,[1]Customers!$C$1:$C$100,,0)=0,"",_xlfn.XLOOKUP(C66,[1]Customers!$A$1:$A$100,[1]Customers!$C$1:$C$100,,0))</f>
        <v>customer@dummy.com</v>
      </c>
      <c r="H66" t="str">
        <f>_xlfn.XLOOKUP(C66,[1]Customers!$A$1:$A$100,[1]Customers!$G$1:$G$100,,0)</f>
        <v>USA</v>
      </c>
      <c r="I66" t="str">
        <f>_xlfn.XLOOKUP(D66,[2]Products!$A$1:$A$100,[2]Products!$B$1:$B$100,,0)</f>
        <v>Liberica</v>
      </c>
      <c r="J66" t="str">
        <f>_xlfn.XLOOKUP(D66,[2]Products!$A$1:$A$100,[2]Products!$C$1:$C$100,,0)</f>
        <v>D</v>
      </c>
      <c r="K66">
        <f>_xlfn.XLOOKUP(D66,[2]Products!$A$1:$A$100,[2]Products!$D$1:$D$100,,0)</f>
        <v>1</v>
      </c>
      <c r="L66">
        <f>_xlfn.XLOOKUP(D66,[2]Products!$A$1:$A$100,[2]Products!$E$1:$E$100,,0)</f>
        <v>38.804000000000002</v>
      </c>
      <c r="M66">
        <f t="shared" si="0"/>
        <v>232.82400000000001</v>
      </c>
      <c r="N66" t="str">
        <f t="shared" si="1"/>
        <v>Lib</v>
      </c>
      <c r="O66" t="str">
        <f t="shared" si="2"/>
        <v>Dark</v>
      </c>
      <c r="P66" t="str">
        <f>_xlfn.XLOOKUP([3]Customers!A66,[3]Customers!$A$1:$A$100,[3]Customers!$I$1:$I$100,,0)</f>
        <v>No</v>
      </c>
    </row>
    <row r="67" spans="1:16" x14ac:dyDescent="0.3">
      <c r="A67" t="s">
        <v>165</v>
      </c>
      <c r="B67" s="2">
        <v>45296</v>
      </c>
      <c r="C67" t="s">
        <v>170</v>
      </c>
      <c r="D67" t="s">
        <v>41</v>
      </c>
      <c r="E67">
        <v>3</v>
      </c>
      <c r="F67" t="s">
        <v>263</v>
      </c>
      <c r="G67" t="str">
        <f>IF(_xlfn.XLOOKUP(C67,[1]Customers!$A$1:$A$100,[1]Customers!$C$1:$C$100,,0)=0,"",_xlfn.XLOOKUP(C67,[1]Customers!$A$1:$A$100,[1]Customers!$C$1:$C$100,,0))</f>
        <v>customer@dummy.com</v>
      </c>
      <c r="H67" t="str">
        <f>_xlfn.XLOOKUP(C67,[1]Customers!$A$1:$A$100,[1]Customers!$G$1:$G$100,,0)</f>
        <v>India</v>
      </c>
      <c r="I67" t="str">
        <f>_xlfn.XLOOKUP(D67,[2]Products!$A$1:$A$100,[2]Products!$B$1:$B$100,,0)</f>
        <v>Arabica</v>
      </c>
      <c r="J67" t="str">
        <f>_xlfn.XLOOKUP(D67,[2]Products!$A$1:$A$100,[2]Products!$C$1:$C$100,,0)</f>
        <v>D</v>
      </c>
      <c r="K67">
        <f>_xlfn.XLOOKUP(D67,[2]Products!$A$1:$A$100,[2]Products!$D$1:$D$100,,0)</f>
        <v>2.5</v>
      </c>
      <c r="L67">
        <f>_xlfn.XLOOKUP(D67,[2]Products!$A$1:$A$100,[2]Products!$E$1:$E$100,,0)</f>
        <v>93.278999999999996</v>
      </c>
      <c r="M67">
        <f t="shared" ref="M67:M100" si="3">L67*E67</f>
        <v>279.83699999999999</v>
      </c>
      <c r="N67" t="str">
        <f t="shared" ref="N67:N100" si="4">IF(I67="Robusta","Rob",IF(I67="Arabica","Ara",IF(I67="Liberica","Lib",IF(I67="Excelsa","Excel",""))))</f>
        <v>Ara</v>
      </c>
      <c r="O67" t="str">
        <f t="shared" ref="O67:O100" si="5">IF(J67="M","Medium",IF(J67="D","Dark",IF(J67="L","Light","")))</f>
        <v>Dark</v>
      </c>
      <c r="P67" t="str">
        <f>_xlfn.XLOOKUP([3]Customers!A67,[3]Customers!$A$1:$A$100,[3]Customers!$I$1:$I$100,,0)</f>
        <v>No</v>
      </c>
    </row>
    <row r="68" spans="1:16" x14ac:dyDescent="0.3">
      <c r="A68" t="s">
        <v>167</v>
      </c>
      <c r="B68" s="2">
        <v>45110</v>
      </c>
      <c r="C68" t="s">
        <v>160</v>
      </c>
      <c r="D68" t="s">
        <v>63</v>
      </c>
      <c r="E68">
        <v>4</v>
      </c>
      <c r="F68" t="s">
        <v>176</v>
      </c>
      <c r="G68" t="str">
        <f>IF(_xlfn.XLOOKUP(C68,[1]Customers!$A$1:$A$100,[1]Customers!$C$1:$C$100,,0)=0,"",_xlfn.XLOOKUP(C68,[1]Customers!$A$1:$A$100,[1]Customers!$C$1:$C$100,,0))</f>
        <v>customer@dummy.com</v>
      </c>
      <c r="H68" t="str">
        <f>_xlfn.XLOOKUP(C68,[1]Customers!$A$1:$A$100,[1]Customers!$G$1:$G$100,,0)</f>
        <v>India</v>
      </c>
      <c r="I68" t="str">
        <f>_xlfn.XLOOKUP(D68,[2]Products!$A$1:$A$100,[2]Products!$B$1:$B$100,,0)</f>
        <v>Arabica</v>
      </c>
      <c r="J68" t="str">
        <f>_xlfn.XLOOKUP(D68,[2]Products!$A$1:$A$100,[2]Products!$C$1:$C$100,,0)</f>
        <v>L</v>
      </c>
      <c r="K68">
        <f>_xlfn.XLOOKUP(D68,[2]Products!$A$1:$A$100,[2]Products!$D$1:$D$100,,0)</f>
        <v>2.5</v>
      </c>
      <c r="L68">
        <f>_xlfn.XLOOKUP(D68,[2]Products!$A$1:$A$100,[2]Products!$E$1:$E$100,,0)</f>
        <v>61.25</v>
      </c>
      <c r="M68">
        <f t="shared" si="3"/>
        <v>245</v>
      </c>
      <c r="N68" t="str">
        <f t="shared" si="4"/>
        <v>Ara</v>
      </c>
      <c r="O68" t="str">
        <f t="shared" si="5"/>
        <v>Light</v>
      </c>
      <c r="P68" t="str">
        <f>_xlfn.XLOOKUP([3]Customers!A68,[3]Customers!$A$1:$A$100,[3]Customers!$I$1:$I$100,,0)</f>
        <v>No</v>
      </c>
    </row>
    <row r="69" spans="1:16" x14ac:dyDescent="0.3">
      <c r="A69" t="s">
        <v>169</v>
      </c>
      <c r="B69" s="2">
        <v>44036</v>
      </c>
      <c r="C69" t="s">
        <v>166</v>
      </c>
      <c r="D69" t="s">
        <v>38</v>
      </c>
      <c r="E69">
        <v>4</v>
      </c>
      <c r="F69" t="s">
        <v>75</v>
      </c>
      <c r="G69" t="str">
        <f>IF(_xlfn.XLOOKUP(C69,[1]Customers!$A$1:$A$100,[1]Customers!$C$1:$C$100,,0)=0,"",_xlfn.XLOOKUP(C69,[1]Customers!$A$1:$A$100,[1]Customers!$C$1:$C$100,,0))</f>
        <v>customer@dummy.com</v>
      </c>
      <c r="H69" t="str">
        <f>_xlfn.XLOOKUP(C69,[1]Customers!$A$1:$A$100,[1]Customers!$G$1:$G$100,,0)</f>
        <v>Australia</v>
      </c>
      <c r="I69" t="str">
        <f>_xlfn.XLOOKUP(D69,[2]Products!$A$1:$A$100,[2]Products!$B$1:$B$100,,0)</f>
        <v>Excelsa</v>
      </c>
      <c r="J69" t="str">
        <f>_xlfn.XLOOKUP(D69,[2]Products!$A$1:$A$100,[2]Products!$C$1:$C$100,,0)</f>
        <v>L</v>
      </c>
      <c r="K69">
        <f>_xlfn.XLOOKUP(D69,[2]Products!$A$1:$A$100,[2]Products!$D$1:$D$100,,0)</f>
        <v>2.5</v>
      </c>
      <c r="L69">
        <f>_xlfn.XLOOKUP(D69,[2]Products!$A$1:$A$100,[2]Products!$E$1:$E$100,,0)</f>
        <v>77.019000000000005</v>
      </c>
      <c r="M69">
        <f t="shared" si="3"/>
        <v>308.07600000000002</v>
      </c>
      <c r="N69" t="str">
        <f t="shared" si="4"/>
        <v>Excel</v>
      </c>
      <c r="O69" t="str">
        <f t="shared" si="5"/>
        <v>Light</v>
      </c>
      <c r="P69" t="str">
        <f>_xlfn.XLOOKUP([3]Customers!A69,[3]Customers!$A$1:$A$100,[3]Customers!$I$1:$I$100,,0)</f>
        <v>Yes</v>
      </c>
    </row>
    <row r="70" spans="1:16" x14ac:dyDescent="0.3">
      <c r="A70" t="s">
        <v>171</v>
      </c>
      <c r="B70" s="2">
        <v>45063</v>
      </c>
      <c r="C70" t="s">
        <v>134</v>
      </c>
      <c r="D70" t="s">
        <v>41</v>
      </c>
      <c r="E70">
        <v>3</v>
      </c>
      <c r="F70" t="s">
        <v>261</v>
      </c>
      <c r="G70" t="str">
        <f>IF(_xlfn.XLOOKUP(C70,[1]Customers!$A$1:$A$100,[1]Customers!$C$1:$C$100,,0)=0,"",_xlfn.XLOOKUP(C70,[1]Customers!$A$1:$A$100,[1]Customers!$C$1:$C$100,,0))</f>
        <v>customer@dummy.com</v>
      </c>
      <c r="H70" t="str">
        <f>_xlfn.XLOOKUP(C70,[1]Customers!$A$1:$A$100,[1]Customers!$G$1:$G$100,,0)</f>
        <v>Canada</v>
      </c>
      <c r="I70" t="str">
        <f>_xlfn.XLOOKUP(D70,[2]Products!$A$1:$A$100,[2]Products!$B$1:$B$100,,0)</f>
        <v>Arabica</v>
      </c>
      <c r="J70" t="str">
        <f>_xlfn.XLOOKUP(D70,[2]Products!$A$1:$A$100,[2]Products!$C$1:$C$100,,0)</f>
        <v>D</v>
      </c>
      <c r="K70">
        <f>_xlfn.XLOOKUP(D70,[2]Products!$A$1:$A$100,[2]Products!$D$1:$D$100,,0)</f>
        <v>2.5</v>
      </c>
      <c r="L70">
        <f>_xlfn.XLOOKUP(D70,[2]Products!$A$1:$A$100,[2]Products!$E$1:$E$100,,0)</f>
        <v>93.278999999999996</v>
      </c>
      <c r="M70">
        <f t="shared" si="3"/>
        <v>279.83699999999999</v>
      </c>
      <c r="N70" t="str">
        <f t="shared" si="4"/>
        <v>Ara</v>
      </c>
      <c r="O70" t="str">
        <f t="shared" si="5"/>
        <v>Dark</v>
      </c>
      <c r="P70" t="str">
        <f>_xlfn.XLOOKUP([3]Customers!A70,[3]Customers!$A$1:$A$100,[3]Customers!$I$1:$I$100,,0)</f>
        <v>Yes</v>
      </c>
    </row>
    <row r="71" spans="1:16" x14ac:dyDescent="0.3">
      <c r="A71" t="s">
        <v>173</v>
      </c>
      <c r="B71" s="2">
        <v>44012</v>
      </c>
      <c r="C71" t="s">
        <v>241</v>
      </c>
      <c r="D71" t="s">
        <v>45</v>
      </c>
      <c r="E71">
        <v>2</v>
      </c>
      <c r="F71" t="s">
        <v>71</v>
      </c>
      <c r="G71" t="str">
        <f>IF(_xlfn.XLOOKUP(C71,[1]Customers!$A$1:$A$100,[1]Customers!$C$1:$C$100,,0)=0,"",_xlfn.XLOOKUP(C71,[1]Customers!$A$1:$A$100,[1]Customers!$C$1:$C$100,,0))</f>
        <v>customer@dummy.com</v>
      </c>
      <c r="H71" t="str">
        <f>_xlfn.XLOOKUP(C71,[1]Customers!$A$1:$A$100,[1]Customers!$G$1:$G$100,,0)</f>
        <v>Germany</v>
      </c>
      <c r="I71" t="str">
        <f>_xlfn.XLOOKUP(D71,[2]Products!$A$1:$A$100,[2]Products!$B$1:$B$100,,0)</f>
        <v>Arabica</v>
      </c>
      <c r="J71" t="str">
        <f>_xlfn.XLOOKUP(D71,[2]Products!$A$1:$A$100,[2]Products!$C$1:$C$100,,0)</f>
        <v>M</v>
      </c>
      <c r="K71">
        <f>_xlfn.XLOOKUP(D71,[2]Products!$A$1:$A$100,[2]Products!$D$1:$D$100,,0)</f>
        <v>1</v>
      </c>
      <c r="L71">
        <f>_xlfn.XLOOKUP(D71,[2]Products!$A$1:$A$100,[2]Products!$E$1:$E$100,,0)</f>
        <v>30.213999999999999</v>
      </c>
      <c r="M71">
        <f t="shared" si="3"/>
        <v>60.427999999999997</v>
      </c>
      <c r="N71" t="str">
        <f t="shared" si="4"/>
        <v>Ara</v>
      </c>
      <c r="O71" t="str">
        <f t="shared" si="5"/>
        <v>Medium</v>
      </c>
      <c r="P71" t="str">
        <f>_xlfn.XLOOKUP([3]Customers!A71,[3]Customers!$A$1:$A$100,[3]Customers!$I$1:$I$100,,0)</f>
        <v>No</v>
      </c>
    </row>
    <row r="72" spans="1:16" x14ac:dyDescent="0.3">
      <c r="A72" t="s">
        <v>174</v>
      </c>
      <c r="B72" s="2">
        <v>44112</v>
      </c>
      <c r="C72" t="s">
        <v>58</v>
      </c>
      <c r="D72" t="s">
        <v>45</v>
      </c>
      <c r="E72">
        <v>4</v>
      </c>
      <c r="F72" t="s">
        <v>24</v>
      </c>
      <c r="G72" t="str">
        <f>IF(_xlfn.XLOOKUP(C72,[1]Customers!$A$1:$A$100,[1]Customers!$C$1:$C$100,,0)=0,"",_xlfn.XLOOKUP(C72,[1]Customers!$A$1:$A$100,[1]Customers!$C$1:$C$100,,0))</f>
        <v>customer@dummy.com</v>
      </c>
      <c r="H72" t="str">
        <f>_xlfn.XLOOKUP(C72,[1]Customers!$A$1:$A$100,[1]Customers!$G$1:$G$100,,0)</f>
        <v>India</v>
      </c>
      <c r="I72" t="str">
        <f>_xlfn.XLOOKUP(D72,[2]Products!$A$1:$A$100,[2]Products!$B$1:$B$100,,0)</f>
        <v>Arabica</v>
      </c>
      <c r="J72" t="str">
        <f>_xlfn.XLOOKUP(D72,[2]Products!$A$1:$A$100,[2]Products!$C$1:$C$100,,0)</f>
        <v>M</v>
      </c>
      <c r="K72">
        <f>_xlfn.XLOOKUP(D72,[2]Products!$A$1:$A$100,[2]Products!$D$1:$D$100,,0)</f>
        <v>1</v>
      </c>
      <c r="L72">
        <f>_xlfn.XLOOKUP(D72,[2]Products!$A$1:$A$100,[2]Products!$E$1:$E$100,,0)</f>
        <v>30.213999999999999</v>
      </c>
      <c r="M72">
        <f t="shared" si="3"/>
        <v>120.85599999999999</v>
      </c>
      <c r="N72" t="str">
        <f t="shared" si="4"/>
        <v>Ara</v>
      </c>
      <c r="O72" t="str">
        <f t="shared" si="5"/>
        <v>Medium</v>
      </c>
      <c r="P72" t="str">
        <f>_xlfn.XLOOKUP([3]Customers!A72,[3]Customers!$A$1:$A$100,[3]Customers!$I$1:$I$100,,0)</f>
        <v>No</v>
      </c>
    </row>
    <row r="73" spans="1:16" x14ac:dyDescent="0.3">
      <c r="A73" t="s">
        <v>175</v>
      </c>
      <c r="B73" s="2">
        <v>44498</v>
      </c>
      <c r="C73" t="s">
        <v>106</v>
      </c>
      <c r="D73" t="s">
        <v>15</v>
      </c>
      <c r="E73">
        <v>1</v>
      </c>
      <c r="F73" t="s">
        <v>64</v>
      </c>
      <c r="G73" t="str">
        <f>IF(_xlfn.XLOOKUP(C73,[1]Customers!$A$1:$A$100,[1]Customers!$C$1:$C$100,,0)=0,"",_xlfn.XLOOKUP(C73,[1]Customers!$A$1:$A$100,[1]Customers!$C$1:$C$100,,0))</f>
        <v/>
      </c>
      <c r="H73" t="str">
        <f>_xlfn.XLOOKUP(C73,[1]Customers!$A$1:$A$100,[1]Customers!$G$1:$G$100,,0)</f>
        <v>Australia</v>
      </c>
      <c r="I73" t="str">
        <f>_xlfn.XLOOKUP(D73,[2]Products!$A$1:$A$100,[2]Products!$B$1:$B$100,,0)</f>
        <v>Robusta</v>
      </c>
      <c r="J73" t="str">
        <f>_xlfn.XLOOKUP(D73,[2]Products!$A$1:$A$100,[2]Products!$C$1:$C$100,,0)</f>
        <v>M</v>
      </c>
      <c r="K73">
        <f>_xlfn.XLOOKUP(D73,[2]Products!$A$1:$A$100,[2]Products!$D$1:$D$100,,0)</f>
        <v>1</v>
      </c>
      <c r="L73">
        <f>_xlfn.XLOOKUP(D73,[2]Products!$A$1:$A$100,[2]Products!$E$1:$E$100,,0)</f>
        <v>29.852</v>
      </c>
      <c r="M73">
        <f t="shared" si="3"/>
        <v>29.852</v>
      </c>
      <c r="N73" t="str">
        <f t="shared" si="4"/>
        <v>Rob</v>
      </c>
      <c r="O73" t="str">
        <f t="shared" si="5"/>
        <v>Medium</v>
      </c>
      <c r="P73" t="str">
        <f>_xlfn.XLOOKUP([3]Customers!A73,[3]Customers!$A$1:$A$100,[3]Customers!$I$1:$I$100,,0)</f>
        <v>Yes</v>
      </c>
    </row>
    <row r="74" spans="1:16" x14ac:dyDescent="0.3">
      <c r="A74" t="s">
        <v>177</v>
      </c>
      <c r="B74" s="2">
        <v>45138</v>
      </c>
      <c r="C74" t="s">
        <v>85</v>
      </c>
      <c r="D74" t="s">
        <v>127</v>
      </c>
      <c r="E74">
        <v>6</v>
      </c>
      <c r="F74" t="s">
        <v>71</v>
      </c>
      <c r="G74" t="str">
        <f>IF(_xlfn.XLOOKUP(C74,[1]Customers!$A$1:$A$100,[1]Customers!$C$1:$C$100,,0)=0,"",_xlfn.XLOOKUP(C74,[1]Customers!$A$1:$A$100,[1]Customers!$C$1:$C$100,,0))</f>
        <v>customer@dummy.com</v>
      </c>
      <c r="H74" t="str">
        <f>_xlfn.XLOOKUP(C74,[1]Customers!$A$1:$A$100,[1]Customers!$G$1:$G$100,,0)</f>
        <v>India</v>
      </c>
      <c r="I74" t="str">
        <f>_xlfn.XLOOKUP(D74,[2]Products!$A$1:$A$100,[2]Products!$B$1:$B$100,,0)</f>
        <v>Liberica</v>
      </c>
      <c r="J74" t="str">
        <f>_xlfn.XLOOKUP(D74,[2]Products!$A$1:$A$100,[2]Products!$C$1:$C$100,,0)</f>
        <v>D</v>
      </c>
      <c r="K74">
        <f>_xlfn.XLOOKUP(D74,[2]Products!$A$1:$A$100,[2]Products!$D$1:$D$100,,0)</f>
        <v>1</v>
      </c>
      <c r="L74">
        <f>_xlfn.XLOOKUP(D74,[2]Products!$A$1:$A$100,[2]Products!$E$1:$E$100,,0)</f>
        <v>38.804000000000002</v>
      </c>
      <c r="M74">
        <f t="shared" si="3"/>
        <v>232.82400000000001</v>
      </c>
      <c r="N74" t="str">
        <f t="shared" si="4"/>
        <v>Lib</v>
      </c>
      <c r="O74" t="str">
        <f t="shared" si="5"/>
        <v>Dark</v>
      </c>
      <c r="P74" t="str">
        <f>_xlfn.XLOOKUP([3]Customers!A74,[3]Customers!$A$1:$A$100,[3]Customers!$I$1:$I$100,,0)</f>
        <v>No</v>
      </c>
    </row>
    <row r="75" spans="1:16" x14ac:dyDescent="0.3">
      <c r="A75" t="s">
        <v>178</v>
      </c>
      <c r="B75" s="2">
        <v>44324</v>
      </c>
      <c r="C75" t="s">
        <v>187</v>
      </c>
      <c r="D75" t="s">
        <v>137</v>
      </c>
      <c r="E75">
        <v>2</v>
      </c>
      <c r="F75" t="s">
        <v>262</v>
      </c>
      <c r="G75" t="str">
        <f>IF(_xlfn.XLOOKUP(C75,[1]Customers!$A$1:$A$100,[1]Customers!$C$1:$C$100,,0)=0,"",_xlfn.XLOOKUP(C75,[1]Customers!$A$1:$A$100,[1]Customers!$C$1:$C$100,,0))</f>
        <v>customer@dummy.com</v>
      </c>
      <c r="H75" t="str">
        <f>_xlfn.XLOOKUP(C75,[1]Customers!$A$1:$A$100,[1]Customers!$G$1:$G$100,,0)</f>
        <v>Australia</v>
      </c>
      <c r="I75" t="str">
        <f>_xlfn.XLOOKUP(D75,[2]Products!$A$1:$A$100,[2]Products!$B$1:$B$100,,0)</f>
        <v>Excelsa</v>
      </c>
      <c r="J75" t="str">
        <f>_xlfn.XLOOKUP(D75,[2]Products!$A$1:$A$100,[2]Products!$C$1:$C$100,,0)</f>
        <v>D</v>
      </c>
      <c r="K75">
        <f>_xlfn.XLOOKUP(D75,[2]Products!$A$1:$A$100,[2]Products!$D$1:$D$100,,0)</f>
        <v>0.2</v>
      </c>
      <c r="L75">
        <f>_xlfn.XLOOKUP(D75,[2]Products!$A$1:$A$100,[2]Products!$E$1:$E$100,,0)</f>
        <v>6.774</v>
      </c>
      <c r="M75">
        <f t="shared" si="3"/>
        <v>13.548</v>
      </c>
      <c r="N75" t="str">
        <f t="shared" si="4"/>
        <v>Excel</v>
      </c>
      <c r="O75" t="str">
        <f t="shared" si="5"/>
        <v>Dark</v>
      </c>
      <c r="P75" t="str">
        <f>_xlfn.XLOOKUP([3]Customers!A75,[3]Customers!$A$1:$A$100,[3]Customers!$I$1:$I$100,,0)</f>
        <v>No</v>
      </c>
    </row>
    <row r="76" spans="1:16" x14ac:dyDescent="0.3">
      <c r="A76" t="s">
        <v>179</v>
      </c>
      <c r="B76" s="2">
        <v>45368</v>
      </c>
      <c r="C76" t="s">
        <v>242</v>
      </c>
      <c r="D76" t="s">
        <v>51</v>
      </c>
      <c r="E76">
        <v>3</v>
      </c>
      <c r="F76" t="s">
        <v>263</v>
      </c>
      <c r="G76" t="str">
        <f>IF(_xlfn.XLOOKUP(C76,[1]Customers!$A$1:$A$100,[1]Customers!$C$1:$C$100,,0)=0,"",_xlfn.XLOOKUP(C76,[1]Customers!$A$1:$A$100,[1]Customers!$C$1:$C$100,,0))</f>
        <v>customer@dummy.com</v>
      </c>
      <c r="H76" t="str">
        <f>_xlfn.XLOOKUP(C76,[1]Customers!$A$1:$A$100,[1]Customers!$G$1:$G$100,,0)</f>
        <v>Australia</v>
      </c>
      <c r="I76" t="str">
        <f>_xlfn.XLOOKUP(D76,[2]Products!$A$1:$A$100,[2]Products!$B$1:$B$100,,0)</f>
        <v>Robusta</v>
      </c>
      <c r="J76" t="str">
        <f>_xlfn.XLOOKUP(D76,[2]Products!$A$1:$A$100,[2]Products!$C$1:$C$100,,0)</f>
        <v>M</v>
      </c>
      <c r="K76">
        <f>_xlfn.XLOOKUP(D76,[2]Products!$A$1:$A$100,[2]Products!$D$1:$D$100,,0)</f>
        <v>1</v>
      </c>
      <c r="L76">
        <f>_xlfn.XLOOKUP(D76,[2]Products!$A$1:$A$100,[2]Products!$E$1:$E$100,,0)</f>
        <v>38.543999999999997</v>
      </c>
      <c r="M76">
        <f t="shared" si="3"/>
        <v>115.63199999999999</v>
      </c>
      <c r="N76" t="str">
        <f t="shared" si="4"/>
        <v>Rob</v>
      </c>
      <c r="O76" t="str">
        <f t="shared" si="5"/>
        <v>Medium</v>
      </c>
      <c r="P76" t="str">
        <f>_xlfn.XLOOKUP([3]Customers!A76,[3]Customers!$A$1:$A$100,[3]Customers!$I$1:$I$100,,0)</f>
        <v>No</v>
      </c>
    </row>
    <row r="77" spans="1:16" x14ac:dyDescent="0.3">
      <c r="A77" t="s">
        <v>180</v>
      </c>
      <c r="B77" s="2">
        <v>43933</v>
      </c>
      <c r="C77" t="s">
        <v>243</v>
      </c>
      <c r="D77" t="s">
        <v>15</v>
      </c>
      <c r="E77">
        <v>3</v>
      </c>
      <c r="F77" t="s">
        <v>42</v>
      </c>
      <c r="G77" t="str">
        <f>IF(_xlfn.XLOOKUP(C77,[1]Customers!$A$1:$A$100,[1]Customers!$C$1:$C$100,,0)=0,"",_xlfn.XLOOKUP(C77,[1]Customers!$A$1:$A$100,[1]Customers!$C$1:$C$100,,0))</f>
        <v>customer@dummy.com</v>
      </c>
      <c r="H77" t="str">
        <f>_xlfn.XLOOKUP(C77,[1]Customers!$A$1:$A$100,[1]Customers!$G$1:$G$100,,0)</f>
        <v>India</v>
      </c>
      <c r="I77" t="str">
        <f>_xlfn.XLOOKUP(D77,[2]Products!$A$1:$A$100,[2]Products!$B$1:$B$100,,0)</f>
        <v>Robusta</v>
      </c>
      <c r="J77" t="str">
        <f>_xlfn.XLOOKUP(D77,[2]Products!$A$1:$A$100,[2]Products!$C$1:$C$100,,0)</f>
        <v>M</v>
      </c>
      <c r="K77">
        <f>_xlfn.XLOOKUP(D77,[2]Products!$A$1:$A$100,[2]Products!$D$1:$D$100,,0)</f>
        <v>1</v>
      </c>
      <c r="L77">
        <f>_xlfn.XLOOKUP(D77,[2]Products!$A$1:$A$100,[2]Products!$E$1:$E$100,,0)</f>
        <v>29.852</v>
      </c>
      <c r="M77">
        <f t="shared" si="3"/>
        <v>89.555999999999997</v>
      </c>
      <c r="N77" t="str">
        <f t="shared" si="4"/>
        <v>Rob</v>
      </c>
      <c r="O77" t="str">
        <f t="shared" si="5"/>
        <v>Medium</v>
      </c>
      <c r="P77" t="str">
        <f>_xlfn.XLOOKUP([3]Customers!A77,[3]Customers!$A$1:$A$100,[3]Customers!$I$1:$I$100,,0)</f>
        <v>Yes</v>
      </c>
    </row>
    <row r="78" spans="1:16" x14ac:dyDescent="0.3">
      <c r="A78" t="s">
        <v>182</v>
      </c>
      <c r="B78" s="2">
        <v>45326</v>
      </c>
      <c r="C78" t="s">
        <v>50</v>
      </c>
      <c r="D78" t="s">
        <v>27</v>
      </c>
      <c r="E78">
        <v>2</v>
      </c>
      <c r="F78" t="s">
        <v>20</v>
      </c>
      <c r="G78" t="str">
        <f>IF(_xlfn.XLOOKUP(C78,[1]Customers!$A$1:$A$100,[1]Customers!$C$1:$C$100,,0)=0,"",_xlfn.XLOOKUP(C78,[1]Customers!$A$1:$A$100,[1]Customers!$C$1:$C$100,,0))</f>
        <v>customer@dummy.com</v>
      </c>
      <c r="H78" t="str">
        <f>_xlfn.XLOOKUP(C78,[1]Customers!$A$1:$A$100,[1]Customers!$G$1:$G$100,,0)</f>
        <v>India</v>
      </c>
      <c r="I78" t="str">
        <f>_xlfn.XLOOKUP(D78,[2]Products!$A$1:$A$100,[2]Products!$B$1:$B$100,,0)</f>
        <v>Excelsa</v>
      </c>
      <c r="J78" t="str">
        <f>_xlfn.XLOOKUP(D78,[2]Products!$A$1:$A$100,[2]Products!$C$1:$C$100,,0)</f>
        <v>L</v>
      </c>
      <c r="K78">
        <f>_xlfn.XLOOKUP(D78,[2]Products!$A$1:$A$100,[2]Products!$D$1:$D$100,,0)</f>
        <v>1</v>
      </c>
      <c r="L78">
        <f>_xlfn.XLOOKUP(D78,[2]Products!$A$1:$A$100,[2]Products!$E$1:$E$100,,0)</f>
        <v>23.021000000000001</v>
      </c>
      <c r="M78">
        <f t="shared" si="3"/>
        <v>46.042000000000002</v>
      </c>
      <c r="N78" t="str">
        <f t="shared" si="4"/>
        <v>Excel</v>
      </c>
      <c r="O78" t="str">
        <f t="shared" si="5"/>
        <v>Light</v>
      </c>
      <c r="P78" t="str">
        <f>_xlfn.XLOOKUP([3]Customers!A78,[3]Customers!$A$1:$A$100,[3]Customers!$I$1:$I$100,,0)</f>
        <v>No</v>
      </c>
    </row>
    <row r="79" spans="1:16" x14ac:dyDescent="0.3">
      <c r="A79" t="s">
        <v>183</v>
      </c>
      <c r="B79" s="2">
        <v>44759</v>
      </c>
      <c r="C79" t="s">
        <v>146</v>
      </c>
      <c r="D79" t="s">
        <v>137</v>
      </c>
      <c r="E79">
        <v>2</v>
      </c>
      <c r="F79" t="s">
        <v>256</v>
      </c>
      <c r="G79" t="str">
        <f>IF(_xlfn.XLOOKUP(C79,[1]Customers!$A$1:$A$100,[1]Customers!$C$1:$C$100,,0)=0,"",_xlfn.XLOOKUP(C79,[1]Customers!$A$1:$A$100,[1]Customers!$C$1:$C$100,,0))</f>
        <v>customer@dummy.com</v>
      </c>
      <c r="H79" t="str">
        <f>_xlfn.XLOOKUP(C79,[1]Customers!$A$1:$A$100,[1]Customers!$G$1:$G$100,,0)</f>
        <v>UK</v>
      </c>
      <c r="I79" t="str">
        <f>_xlfn.XLOOKUP(D79,[2]Products!$A$1:$A$100,[2]Products!$B$1:$B$100,,0)</f>
        <v>Excelsa</v>
      </c>
      <c r="J79" t="str">
        <f>_xlfn.XLOOKUP(D79,[2]Products!$A$1:$A$100,[2]Products!$C$1:$C$100,,0)</f>
        <v>D</v>
      </c>
      <c r="K79">
        <f>_xlfn.XLOOKUP(D79,[2]Products!$A$1:$A$100,[2]Products!$D$1:$D$100,,0)</f>
        <v>0.2</v>
      </c>
      <c r="L79">
        <f>_xlfn.XLOOKUP(D79,[2]Products!$A$1:$A$100,[2]Products!$E$1:$E$100,,0)</f>
        <v>6.774</v>
      </c>
      <c r="M79">
        <f t="shared" si="3"/>
        <v>13.548</v>
      </c>
      <c r="N79" t="str">
        <f t="shared" si="4"/>
        <v>Excel</v>
      </c>
      <c r="O79" t="str">
        <f t="shared" si="5"/>
        <v>Dark</v>
      </c>
      <c r="P79" t="str">
        <f>_xlfn.XLOOKUP([3]Customers!A79,[3]Customers!$A$1:$A$100,[3]Customers!$I$1:$I$100,,0)</f>
        <v>No</v>
      </c>
    </row>
    <row r="80" spans="1:16" x14ac:dyDescent="0.3">
      <c r="A80" t="s">
        <v>185</v>
      </c>
      <c r="B80" s="2">
        <v>43575</v>
      </c>
      <c r="C80" t="s">
        <v>101</v>
      </c>
      <c r="D80" t="s">
        <v>59</v>
      </c>
      <c r="E80">
        <v>6</v>
      </c>
      <c r="F80" t="s">
        <v>259</v>
      </c>
      <c r="G80" t="str">
        <f>IF(_xlfn.XLOOKUP(C80,[1]Customers!$A$1:$A$100,[1]Customers!$C$1:$C$100,,0)=0,"",_xlfn.XLOOKUP(C80,[1]Customers!$A$1:$A$100,[1]Customers!$C$1:$C$100,,0))</f>
        <v>customer@dummy.com</v>
      </c>
      <c r="H80" t="str">
        <f>_xlfn.XLOOKUP(C80,[1]Customers!$A$1:$A$100,[1]Customers!$G$1:$G$100,,0)</f>
        <v>USA</v>
      </c>
      <c r="I80" t="str">
        <f>_xlfn.XLOOKUP(D80,[2]Products!$A$1:$A$100,[2]Products!$B$1:$B$100,,0)</f>
        <v>Robusta</v>
      </c>
      <c r="J80" t="str">
        <f>_xlfn.XLOOKUP(D80,[2]Products!$A$1:$A$100,[2]Products!$C$1:$C$100,,0)</f>
        <v>L</v>
      </c>
      <c r="K80">
        <f>_xlfn.XLOOKUP(D80,[2]Products!$A$1:$A$100,[2]Products!$D$1:$D$100,,0)</f>
        <v>0.5</v>
      </c>
      <c r="L80">
        <f>_xlfn.XLOOKUP(D80,[2]Products!$A$1:$A$100,[2]Products!$E$1:$E$100,,0)</f>
        <v>16.89</v>
      </c>
      <c r="M80">
        <f t="shared" si="3"/>
        <v>101.34</v>
      </c>
      <c r="N80" t="str">
        <f t="shared" si="4"/>
        <v>Rob</v>
      </c>
      <c r="O80" t="str">
        <f t="shared" si="5"/>
        <v>Light</v>
      </c>
      <c r="P80" t="str">
        <f>_xlfn.XLOOKUP([3]Customers!A80,[3]Customers!$A$1:$A$100,[3]Customers!$I$1:$I$100,,0)</f>
        <v>No</v>
      </c>
    </row>
    <row r="81" spans="1:16" x14ac:dyDescent="0.3">
      <c r="A81" t="s">
        <v>186</v>
      </c>
      <c r="B81" s="2">
        <v>45177</v>
      </c>
      <c r="C81" t="s">
        <v>88</v>
      </c>
      <c r="D81" t="s">
        <v>67</v>
      </c>
      <c r="E81">
        <v>2</v>
      </c>
      <c r="F81" t="s">
        <v>24</v>
      </c>
      <c r="G81" t="str">
        <f>IF(_xlfn.XLOOKUP(C81,[1]Customers!$A$1:$A$100,[1]Customers!$C$1:$C$100,,0)=0,"",_xlfn.XLOOKUP(C81,[1]Customers!$A$1:$A$100,[1]Customers!$C$1:$C$100,,0))</f>
        <v>customer@dummy.com</v>
      </c>
      <c r="H81" t="str">
        <f>_xlfn.XLOOKUP(C81,[1]Customers!$A$1:$A$100,[1]Customers!$G$1:$G$100,,0)</f>
        <v>India</v>
      </c>
      <c r="I81" t="str">
        <f>_xlfn.XLOOKUP(D81,[2]Products!$A$1:$A$100,[2]Products!$B$1:$B$100,,0)</f>
        <v>Arabica</v>
      </c>
      <c r="J81" t="str">
        <f>_xlfn.XLOOKUP(D81,[2]Products!$A$1:$A$100,[2]Products!$C$1:$C$100,,0)</f>
        <v>D</v>
      </c>
      <c r="K81">
        <f>_xlfn.XLOOKUP(D81,[2]Products!$A$1:$A$100,[2]Products!$D$1:$D$100,,0)</f>
        <v>2.5</v>
      </c>
      <c r="L81">
        <f>_xlfn.XLOOKUP(D81,[2]Products!$A$1:$A$100,[2]Products!$E$1:$E$100,,0)</f>
        <v>80.778000000000006</v>
      </c>
      <c r="M81">
        <f t="shared" si="3"/>
        <v>161.55600000000001</v>
      </c>
      <c r="N81" t="str">
        <f t="shared" si="4"/>
        <v>Ara</v>
      </c>
      <c r="O81" t="str">
        <f t="shared" si="5"/>
        <v>Dark</v>
      </c>
      <c r="P81" t="str">
        <f>_xlfn.XLOOKUP([3]Customers!A81,[3]Customers!$A$1:$A$100,[3]Customers!$I$1:$I$100,,0)</f>
        <v>Yes</v>
      </c>
    </row>
    <row r="82" spans="1:16" x14ac:dyDescent="0.3">
      <c r="A82" t="s">
        <v>188</v>
      </c>
      <c r="B82" s="2">
        <v>43485</v>
      </c>
      <c r="C82" t="s">
        <v>244</v>
      </c>
      <c r="D82" t="s">
        <v>70</v>
      </c>
      <c r="E82">
        <v>3</v>
      </c>
      <c r="F82" t="s">
        <v>259</v>
      </c>
      <c r="G82" t="str">
        <f>IF(_xlfn.XLOOKUP(C82,[1]Customers!$A$1:$A$100,[1]Customers!$C$1:$C$100,,0)=0,"",_xlfn.XLOOKUP(C82,[1]Customers!$A$1:$A$100,[1]Customers!$C$1:$C$100,,0))</f>
        <v>customer@dummy.com</v>
      </c>
      <c r="H82" t="str">
        <f>_xlfn.XLOOKUP(C82,[1]Customers!$A$1:$A$100,[1]Customers!$G$1:$G$100,,0)</f>
        <v>Canada</v>
      </c>
      <c r="I82" t="str">
        <f>_xlfn.XLOOKUP(D82,[2]Products!$A$1:$A$100,[2]Products!$B$1:$B$100,,0)</f>
        <v>Excelsa</v>
      </c>
      <c r="J82" t="str">
        <f>_xlfn.XLOOKUP(D82,[2]Products!$A$1:$A$100,[2]Products!$C$1:$C$100,,0)</f>
        <v>M</v>
      </c>
      <c r="K82">
        <f>_xlfn.XLOOKUP(D82,[2]Products!$A$1:$A$100,[2]Products!$D$1:$D$100,,0)</f>
        <v>2.5</v>
      </c>
      <c r="L82">
        <f>_xlfn.XLOOKUP(D82,[2]Products!$A$1:$A$100,[2]Products!$E$1:$E$100,,0)</f>
        <v>88.546999999999997</v>
      </c>
      <c r="M82">
        <f t="shared" si="3"/>
        <v>265.64099999999996</v>
      </c>
      <c r="N82" t="str">
        <f t="shared" si="4"/>
        <v>Excel</v>
      </c>
      <c r="O82" t="str">
        <f t="shared" si="5"/>
        <v>Medium</v>
      </c>
      <c r="P82" t="str">
        <f>_xlfn.XLOOKUP([3]Customers!A82,[3]Customers!$A$1:$A$100,[3]Customers!$I$1:$I$100,,0)</f>
        <v>Yes</v>
      </c>
    </row>
    <row r="83" spans="1:16" x14ac:dyDescent="0.3">
      <c r="A83" t="s">
        <v>189</v>
      </c>
      <c r="B83" s="2">
        <v>44575</v>
      </c>
      <c r="C83" t="s">
        <v>92</v>
      </c>
      <c r="D83" t="s">
        <v>63</v>
      </c>
      <c r="E83">
        <v>2</v>
      </c>
      <c r="F83" t="s">
        <v>257</v>
      </c>
      <c r="G83" t="str">
        <f>IF(_xlfn.XLOOKUP(C83,[1]Customers!$A$1:$A$100,[1]Customers!$C$1:$C$100,,0)=0,"",_xlfn.XLOOKUP(C83,[1]Customers!$A$1:$A$100,[1]Customers!$C$1:$C$100,,0))</f>
        <v/>
      </c>
      <c r="H83" t="str">
        <f>_xlfn.XLOOKUP(C83,[1]Customers!$A$1:$A$100,[1]Customers!$G$1:$G$100,,0)</f>
        <v>India</v>
      </c>
      <c r="I83" t="str">
        <f>_xlfn.XLOOKUP(D83,[2]Products!$A$1:$A$100,[2]Products!$B$1:$B$100,,0)</f>
        <v>Arabica</v>
      </c>
      <c r="J83" t="str">
        <f>_xlfn.XLOOKUP(D83,[2]Products!$A$1:$A$100,[2]Products!$C$1:$C$100,,0)</f>
        <v>L</v>
      </c>
      <c r="K83">
        <f>_xlfn.XLOOKUP(D83,[2]Products!$A$1:$A$100,[2]Products!$D$1:$D$100,,0)</f>
        <v>2.5</v>
      </c>
      <c r="L83">
        <f>_xlfn.XLOOKUP(D83,[2]Products!$A$1:$A$100,[2]Products!$E$1:$E$100,,0)</f>
        <v>61.25</v>
      </c>
      <c r="M83">
        <f t="shared" si="3"/>
        <v>122.5</v>
      </c>
      <c r="N83" t="str">
        <f t="shared" si="4"/>
        <v>Ara</v>
      </c>
      <c r="O83" t="str">
        <f t="shared" si="5"/>
        <v>Light</v>
      </c>
      <c r="P83" t="str">
        <f>_xlfn.XLOOKUP([3]Customers!A83,[3]Customers!$A$1:$A$100,[3]Customers!$I$1:$I$100,,0)</f>
        <v>No</v>
      </c>
    </row>
    <row r="84" spans="1:16" x14ac:dyDescent="0.3">
      <c r="A84" t="s">
        <v>191</v>
      </c>
      <c r="B84" s="2">
        <v>44026</v>
      </c>
      <c r="C84" t="s">
        <v>150</v>
      </c>
      <c r="D84" t="s">
        <v>38</v>
      </c>
      <c r="E84">
        <v>3</v>
      </c>
      <c r="F84" t="s">
        <v>263</v>
      </c>
      <c r="G84" t="str">
        <f>IF(_xlfn.XLOOKUP(C84,[1]Customers!$A$1:$A$100,[1]Customers!$C$1:$C$100,,0)=0,"",_xlfn.XLOOKUP(C84,[1]Customers!$A$1:$A$100,[1]Customers!$C$1:$C$100,,0))</f>
        <v>customer@dummy.com</v>
      </c>
      <c r="H84" t="str">
        <f>_xlfn.XLOOKUP(C84,[1]Customers!$A$1:$A$100,[1]Customers!$G$1:$G$100,,0)</f>
        <v>Australia</v>
      </c>
      <c r="I84" t="str">
        <f>_xlfn.XLOOKUP(D84,[2]Products!$A$1:$A$100,[2]Products!$B$1:$B$100,,0)</f>
        <v>Excelsa</v>
      </c>
      <c r="J84" t="str">
        <f>_xlfn.XLOOKUP(D84,[2]Products!$A$1:$A$100,[2]Products!$C$1:$C$100,,0)</f>
        <v>L</v>
      </c>
      <c r="K84">
        <f>_xlfn.XLOOKUP(D84,[2]Products!$A$1:$A$100,[2]Products!$D$1:$D$100,,0)</f>
        <v>2.5</v>
      </c>
      <c r="L84">
        <f>_xlfn.XLOOKUP(D84,[2]Products!$A$1:$A$100,[2]Products!$E$1:$E$100,,0)</f>
        <v>77.019000000000005</v>
      </c>
      <c r="M84">
        <f t="shared" si="3"/>
        <v>231.05700000000002</v>
      </c>
      <c r="N84" t="str">
        <f t="shared" si="4"/>
        <v>Excel</v>
      </c>
      <c r="O84" t="str">
        <f t="shared" si="5"/>
        <v>Light</v>
      </c>
      <c r="P84" t="str">
        <f>_xlfn.XLOOKUP([3]Customers!A84,[3]Customers!$A$1:$A$100,[3]Customers!$I$1:$I$100,,0)</f>
        <v>No</v>
      </c>
    </row>
    <row r="85" spans="1:16" x14ac:dyDescent="0.3">
      <c r="A85" t="s">
        <v>193</v>
      </c>
      <c r="B85" s="2">
        <v>43601</v>
      </c>
      <c r="C85" t="s">
        <v>210</v>
      </c>
      <c r="D85" t="s">
        <v>19</v>
      </c>
      <c r="E85">
        <v>5</v>
      </c>
      <c r="F85" t="s">
        <v>264</v>
      </c>
      <c r="G85" t="str">
        <f>IF(_xlfn.XLOOKUP(C85,[1]Customers!$A$1:$A$100,[1]Customers!$C$1:$C$100,,0)=0,"",_xlfn.XLOOKUP(C85,[1]Customers!$A$1:$A$100,[1]Customers!$C$1:$C$100,,0))</f>
        <v>customer@dummy.com</v>
      </c>
      <c r="H85" t="str">
        <f>_xlfn.XLOOKUP(C85,[1]Customers!$A$1:$A$100,[1]Customers!$G$1:$G$100,,0)</f>
        <v>UK</v>
      </c>
      <c r="I85" t="str">
        <f>_xlfn.XLOOKUP(D85,[2]Products!$A$1:$A$100,[2]Products!$B$1:$B$100,,0)</f>
        <v>Arabica</v>
      </c>
      <c r="J85" t="str">
        <f>_xlfn.XLOOKUP(D85,[2]Products!$A$1:$A$100,[2]Products!$C$1:$C$100,,0)</f>
        <v>D</v>
      </c>
      <c r="K85">
        <f>_xlfn.XLOOKUP(D85,[2]Products!$A$1:$A$100,[2]Products!$D$1:$D$100,,0)</f>
        <v>0.2</v>
      </c>
      <c r="L85">
        <f>_xlfn.XLOOKUP(D85,[2]Products!$A$1:$A$100,[2]Products!$E$1:$E$100,,0)</f>
        <v>5.7619999999999996</v>
      </c>
      <c r="M85">
        <f t="shared" si="3"/>
        <v>28.81</v>
      </c>
      <c r="N85" t="str">
        <f t="shared" si="4"/>
        <v>Ara</v>
      </c>
      <c r="O85" t="str">
        <f t="shared" si="5"/>
        <v>Dark</v>
      </c>
      <c r="P85" t="str">
        <f>_xlfn.XLOOKUP([3]Customers!A85,[3]Customers!$A$1:$A$100,[3]Customers!$I$1:$I$100,,0)</f>
        <v>Yes</v>
      </c>
    </row>
    <row r="86" spans="1:16" x14ac:dyDescent="0.3">
      <c r="A86" t="s">
        <v>194</v>
      </c>
      <c r="B86" s="2">
        <v>44865</v>
      </c>
      <c r="C86" t="s">
        <v>73</v>
      </c>
      <c r="D86" t="s">
        <v>127</v>
      </c>
      <c r="E86">
        <v>6</v>
      </c>
      <c r="F86" t="s">
        <v>71</v>
      </c>
      <c r="G86" t="str">
        <f>IF(_xlfn.XLOOKUP(C86,[1]Customers!$A$1:$A$100,[1]Customers!$C$1:$C$100,,0)=0,"",_xlfn.XLOOKUP(C86,[1]Customers!$A$1:$A$100,[1]Customers!$C$1:$C$100,,0))</f>
        <v>customer@dummy.com</v>
      </c>
      <c r="H86" t="str">
        <f>_xlfn.XLOOKUP(C86,[1]Customers!$A$1:$A$100,[1]Customers!$G$1:$G$100,,0)</f>
        <v>Germany</v>
      </c>
      <c r="I86" t="str">
        <f>_xlfn.XLOOKUP(D86,[2]Products!$A$1:$A$100,[2]Products!$B$1:$B$100,,0)</f>
        <v>Liberica</v>
      </c>
      <c r="J86" t="str">
        <f>_xlfn.XLOOKUP(D86,[2]Products!$A$1:$A$100,[2]Products!$C$1:$C$100,,0)</f>
        <v>D</v>
      </c>
      <c r="K86">
        <f>_xlfn.XLOOKUP(D86,[2]Products!$A$1:$A$100,[2]Products!$D$1:$D$100,,0)</f>
        <v>1</v>
      </c>
      <c r="L86">
        <f>_xlfn.XLOOKUP(D86,[2]Products!$A$1:$A$100,[2]Products!$E$1:$E$100,,0)</f>
        <v>38.804000000000002</v>
      </c>
      <c r="M86">
        <f t="shared" si="3"/>
        <v>232.82400000000001</v>
      </c>
      <c r="N86" t="str">
        <f t="shared" si="4"/>
        <v>Lib</v>
      </c>
      <c r="O86" t="str">
        <f t="shared" si="5"/>
        <v>Dark</v>
      </c>
      <c r="P86" t="str">
        <f>_xlfn.XLOOKUP([3]Customers!A86,[3]Customers!$A$1:$A$100,[3]Customers!$I$1:$I$100,,0)</f>
        <v>No</v>
      </c>
    </row>
    <row r="87" spans="1:16" x14ac:dyDescent="0.3">
      <c r="A87" t="s">
        <v>196</v>
      </c>
      <c r="B87" s="2">
        <v>43738</v>
      </c>
      <c r="C87" t="s">
        <v>157</v>
      </c>
      <c r="D87" t="s">
        <v>70</v>
      </c>
      <c r="E87">
        <v>1</v>
      </c>
      <c r="F87" t="s">
        <v>258</v>
      </c>
      <c r="G87" t="str">
        <f>IF(_xlfn.XLOOKUP(C87,[1]Customers!$A$1:$A$100,[1]Customers!$C$1:$C$100,,0)=0,"",_xlfn.XLOOKUP(C87,[1]Customers!$A$1:$A$100,[1]Customers!$C$1:$C$100,,0))</f>
        <v>customer@dummy.com</v>
      </c>
      <c r="H87" t="str">
        <f>_xlfn.XLOOKUP(C87,[1]Customers!$A$1:$A$100,[1]Customers!$G$1:$G$100,,0)</f>
        <v>Germany</v>
      </c>
      <c r="I87" t="str">
        <f>_xlfn.XLOOKUP(D87,[2]Products!$A$1:$A$100,[2]Products!$B$1:$B$100,,0)</f>
        <v>Excelsa</v>
      </c>
      <c r="J87" t="str">
        <f>_xlfn.XLOOKUP(D87,[2]Products!$A$1:$A$100,[2]Products!$C$1:$C$100,,0)</f>
        <v>M</v>
      </c>
      <c r="K87">
        <f>_xlfn.XLOOKUP(D87,[2]Products!$A$1:$A$100,[2]Products!$D$1:$D$100,,0)</f>
        <v>2.5</v>
      </c>
      <c r="L87">
        <f>_xlfn.XLOOKUP(D87,[2]Products!$A$1:$A$100,[2]Products!$E$1:$E$100,,0)</f>
        <v>88.546999999999997</v>
      </c>
      <c r="M87">
        <f t="shared" si="3"/>
        <v>88.546999999999997</v>
      </c>
      <c r="N87" t="str">
        <f t="shared" si="4"/>
        <v>Excel</v>
      </c>
      <c r="O87" t="str">
        <f t="shared" si="5"/>
        <v>Medium</v>
      </c>
      <c r="P87" t="str">
        <f>_xlfn.XLOOKUP([3]Customers!A87,[3]Customers!$A$1:$A$100,[3]Customers!$I$1:$I$100,,0)</f>
        <v>No</v>
      </c>
    </row>
    <row r="88" spans="1:16" x14ac:dyDescent="0.3">
      <c r="A88" t="s">
        <v>197</v>
      </c>
      <c r="B88" s="2">
        <v>44218</v>
      </c>
      <c r="C88" t="s">
        <v>144</v>
      </c>
      <c r="D88" t="s">
        <v>56</v>
      </c>
      <c r="E88">
        <v>4</v>
      </c>
      <c r="F88" t="s">
        <v>255</v>
      </c>
      <c r="G88" t="str">
        <f>IF(_xlfn.XLOOKUP(C88,[1]Customers!$A$1:$A$100,[1]Customers!$C$1:$C$100,,0)=0,"",_xlfn.XLOOKUP(C88,[1]Customers!$A$1:$A$100,[1]Customers!$C$1:$C$100,,0))</f>
        <v>customer@dummy.com</v>
      </c>
      <c r="H88" t="str">
        <f>_xlfn.XLOOKUP(C88,[1]Customers!$A$1:$A$100,[1]Customers!$G$1:$G$100,,0)</f>
        <v>UK</v>
      </c>
      <c r="I88" t="str">
        <f>_xlfn.XLOOKUP(D88,[2]Products!$A$1:$A$100,[2]Products!$B$1:$B$100,,0)</f>
        <v>Robusta</v>
      </c>
      <c r="J88" t="str">
        <f>_xlfn.XLOOKUP(D88,[2]Products!$A$1:$A$100,[2]Products!$C$1:$C$100,,0)</f>
        <v>D</v>
      </c>
      <c r="K88">
        <f>_xlfn.XLOOKUP(D88,[2]Products!$A$1:$A$100,[2]Products!$D$1:$D$100,,0)</f>
        <v>2.5</v>
      </c>
      <c r="L88">
        <f>_xlfn.XLOOKUP(D88,[2]Products!$A$1:$A$100,[2]Products!$E$1:$E$100,,0)</f>
        <v>80.451999999999998</v>
      </c>
      <c r="M88">
        <f t="shared" si="3"/>
        <v>321.80799999999999</v>
      </c>
      <c r="N88" t="str">
        <f t="shared" si="4"/>
        <v>Rob</v>
      </c>
      <c r="O88" t="str">
        <f t="shared" si="5"/>
        <v>Dark</v>
      </c>
      <c r="P88" t="str">
        <f>_xlfn.XLOOKUP([3]Customers!A88,[3]Customers!$A$1:$A$100,[3]Customers!$I$1:$I$100,,0)</f>
        <v>No</v>
      </c>
    </row>
    <row r="89" spans="1:16" x14ac:dyDescent="0.3">
      <c r="A89" t="s">
        <v>199</v>
      </c>
      <c r="B89" s="2">
        <v>44868</v>
      </c>
      <c r="C89" t="s">
        <v>114</v>
      </c>
      <c r="D89" t="s">
        <v>137</v>
      </c>
      <c r="E89">
        <v>6</v>
      </c>
      <c r="F89" t="s">
        <v>28</v>
      </c>
      <c r="G89" t="str">
        <f>IF(_xlfn.XLOOKUP(C89,[1]Customers!$A$1:$A$100,[1]Customers!$C$1:$C$100,,0)=0,"",_xlfn.XLOOKUP(C89,[1]Customers!$A$1:$A$100,[1]Customers!$C$1:$C$100,,0))</f>
        <v>customer@dummy.com</v>
      </c>
      <c r="H89" t="str">
        <f>_xlfn.XLOOKUP(C89,[1]Customers!$A$1:$A$100,[1]Customers!$G$1:$G$100,,0)</f>
        <v>India</v>
      </c>
      <c r="I89" t="str">
        <f>_xlfn.XLOOKUP(D89,[2]Products!$A$1:$A$100,[2]Products!$B$1:$B$100,,0)</f>
        <v>Excelsa</v>
      </c>
      <c r="J89" t="str">
        <f>_xlfn.XLOOKUP(D89,[2]Products!$A$1:$A$100,[2]Products!$C$1:$C$100,,0)</f>
        <v>D</v>
      </c>
      <c r="K89">
        <f>_xlfn.XLOOKUP(D89,[2]Products!$A$1:$A$100,[2]Products!$D$1:$D$100,,0)</f>
        <v>0.2</v>
      </c>
      <c r="L89">
        <f>_xlfn.XLOOKUP(D89,[2]Products!$A$1:$A$100,[2]Products!$E$1:$E$100,,0)</f>
        <v>6.774</v>
      </c>
      <c r="M89">
        <f t="shared" si="3"/>
        <v>40.643999999999998</v>
      </c>
      <c r="N89" t="str">
        <f t="shared" si="4"/>
        <v>Excel</v>
      </c>
      <c r="O89" t="str">
        <f t="shared" si="5"/>
        <v>Dark</v>
      </c>
      <c r="P89" t="str">
        <f>_xlfn.XLOOKUP([3]Customers!A89,[3]Customers!$A$1:$A$100,[3]Customers!$I$1:$I$100,,0)</f>
        <v>No</v>
      </c>
    </row>
    <row r="90" spans="1:16" x14ac:dyDescent="0.3">
      <c r="A90" t="s">
        <v>200</v>
      </c>
      <c r="B90" s="2">
        <v>43982</v>
      </c>
      <c r="C90" t="s">
        <v>142</v>
      </c>
      <c r="D90" t="s">
        <v>38</v>
      </c>
      <c r="E90">
        <v>2</v>
      </c>
      <c r="F90" t="s">
        <v>81</v>
      </c>
      <c r="G90" t="str">
        <f>IF(_xlfn.XLOOKUP(C90,[1]Customers!$A$1:$A$100,[1]Customers!$C$1:$C$100,,0)=0,"",_xlfn.XLOOKUP(C90,[1]Customers!$A$1:$A$100,[1]Customers!$C$1:$C$100,,0))</f>
        <v>customer@dummy.com</v>
      </c>
      <c r="H90" t="str">
        <f>_xlfn.XLOOKUP(C90,[1]Customers!$A$1:$A$100,[1]Customers!$G$1:$G$100,,0)</f>
        <v>Germany</v>
      </c>
      <c r="I90" t="str">
        <f>_xlfn.XLOOKUP(D90,[2]Products!$A$1:$A$100,[2]Products!$B$1:$B$100,,0)</f>
        <v>Excelsa</v>
      </c>
      <c r="J90" t="str">
        <f>_xlfn.XLOOKUP(D90,[2]Products!$A$1:$A$100,[2]Products!$C$1:$C$100,,0)</f>
        <v>L</v>
      </c>
      <c r="K90">
        <f>_xlfn.XLOOKUP(D90,[2]Products!$A$1:$A$100,[2]Products!$D$1:$D$100,,0)</f>
        <v>2.5</v>
      </c>
      <c r="L90">
        <f>_xlfn.XLOOKUP(D90,[2]Products!$A$1:$A$100,[2]Products!$E$1:$E$100,,0)</f>
        <v>77.019000000000005</v>
      </c>
      <c r="M90">
        <f t="shared" si="3"/>
        <v>154.03800000000001</v>
      </c>
      <c r="N90" t="str">
        <f t="shared" si="4"/>
        <v>Excel</v>
      </c>
      <c r="O90" t="str">
        <f t="shared" si="5"/>
        <v>Light</v>
      </c>
      <c r="P90" t="str">
        <f>_xlfn.XLOOKUP([3]Customers!A90,[3]Customers!$A$1:$A$100,[3]Customers!$I$1:$I$100,,0)</f>
        <v>Yes</v>
      </c>
    </row>
    <row r="91" spans="1:16" x14ac:dyDescent="0.3">
      <c r="A91" t="s">
        <v>201</v>
      </c>
      <c r="B91" s="2">
        <v>44986</v>
      </c>
      <c r="C91" t="s">
        <v>97</v>
      </c>
      <c r="D91" t="s">
        <v>67</v>
      </c>
      <c r="E91">
        <v>1</v>
      </c>
      <c r="F91" t="s">
        <v>24</v>
      </c>
      <c r="G91" t="str">
        <f>IF(_xlfn.XLOOKUP(C91,[1]Customers!$A$1:$A$100,[1]Customers!$C$1:$C$100,,0)=0,"",_xlfn.XLOOKUP(C91,[1]Customers!$A$1:$A$100,[1]Customers!$C$1:$C$100,,0))</f>
        <v>customer@dummy.com</v>
      </c>
      <c r="H91" t="str">
        <f>_xlfn.XLOOKUP(C91,[1]Customers!$A$1:$A$100,[1]Customers!$G$1:$G$100,,0)</f>
        <v>Australia</v>
      </c>
      <c r="I91" t="str">
        <f>_xlfn.XLOOKUP(D91,[2]Products!$A$1:$A$100,[2]Products!$B$1:$B$100,,0)</f>
        <v>Arabica</v>
      </c>
      <c r="J91" t="str">
        <f>_xlfn.XLOOKUP(D91,[2]Products!$A$1:$A$100,[2]Products!$C$1:$C$100,,0)</f>
        <v>D</v>
      </c>
      <c r="K91">
        <f>_xlfn.XLOOKUP(D91,[2]Products!$A$1:$A$100,[2]Products!$D$1:$D$100,,0)</f>
        <v>2.5</v>
      </c>
      <c r="L91">
        <f>_xlfn.XLOOKUP(D91,[2]Products!$A$1:$A$100,[2]Products!$E$1:$E$100,,0)</f>
        <v>80.778000000000006</v>
      </c>
      <c r="M91">
        <f t="shared" si="3"/>
        <v>80.778000000000006</v>
      </c>
      <c r="N91" t="str">
        <f t="shared" si="4"/>
        <v>Ara</v>
      </c>
      <c r="O91" t="str">
        <f t="shared" si="5"/>
        <v>Dark</v>
      </c>
      <c r="P91" t="str">
        <f>_xlfn.XLOOKUP([3]Customers!A91,[3]Customers!$A$1:$A$100,[3]Customers!$I$1:$I$100,,0)</f>
        <v>No</v>
      </c>
    </row>
    <row r="92" spans="1:16" x14ac:dyDescent="0.3">
      <c r="A92" t="s">
        <v>202</v>
      </c>
      <c r="B92" s="2">
        <v>44780</v>
      </c>
      <c r="C92" t="s">
        <v>245</v>
      </c>
      <c r="D92" t="s">
        <v>127</v>
      </c>
      <c r="E92">
        <v>5</v>
      </c>
      <c r="F92" t="s">
        <v>263</v>
      </c>
      <c r="G92" t="str">
        <f>IF(_xlfn.XLOOKUP(C92,[1]Customers!$A$1:$A$100,[1]Customers!$C$1:$C$100,,0)=0,"",_xlfn.XLOOKUP(C92,[1]Customers!$A$1:$A$100,[1]Customers!$C$1:$C$100,,0))</f>
        <v>customer@dummy.com</v>
      </c>
      <c r="H92" t="str">
        <f>_xlfn.XLOOKUP(C92,[1]Customers!$A$1:$A$100,[1]Customers!$G$1:$G$100,,0)</f>
        <v>India</v>
      </c>
      <c r="I92" t="str">
        <f>_xlfn.XLOOKUP(D92,[2]Products!$A$1:$A$100,[2]Products!$B$1:$B$100,,0)</f>
        <v>Liberica</v>
      </c>
      <c r="J92" t="str">
        <f>_xlfn.XLOOKUP(D92,[2]Products!$A$1:$A$100,[2]Products!$C$1:$C$100,,0)</f>
        <v>D</v>
      </c>
      <c r="K92">
        <f>_xlfn.XLOOKUP(D92,[2]Products!$A$1:$A$100,[2]Products!$D$1:$D$100,,0)</f>
        <v>1</v>
      </c>
      <c r="L92">
        <f>_xlfn.XLOOKUP(D92,[2]Products!$A$1:$A$100,[2]Products!$E$1:$E$100,,0)</f>
        <v>38.804000000000002</v>
      </c>
      <c r="M92">
        <f t="shared" si="3"/>
        <v>194.02</v>
      </c>
      <c r="N92" t="str">
        <f t="shared" si="4"/>
        <v>Lib</v>
      </c>
      <c r="O92" t="str">
        <f t="shared" si="5"/>
        <v>Dark</v>
      </c>
      <c r="P92" t="str">
        <f>_xlfn.XLOOKUP([3]Customers!A92,[3]Customers!$A$1:$A$100,[3]Customers!$I$1:$I$100,,0)</f>
        <v>No</v>
      </c>
    </row>
    <row r="93" spans="1:16" x14ac:dyDescent="0.3">
      <c r="A93" t="s">
        <v>203</v>
      </c>
      <c r="B93" s="2">
        <v>44296</v>
      </c>
      <c r="C93" t="s">
        <v>14</v>
      </c>
      <c r="D93" t="s">
        <v>34</v>
      </c>
      <c r="E93">
        <v>5</v>
      </c>
      <c r="F93" t="s">
        <v>42</v>
      </c>
      <c r="G93" t="str">
        <f>IF(_xlfn.XLOOKUP(C93,[1]Customers!$A$1:$A$100,[1]Customers!$C$1:$C$100,,0)=0,"",_xlfn.XLOOKUP(C93,[1]Customers!$A$1:$A$100,[1]Customers!$C$1:$C$100,,0))</f>
        <v>customer@dummy.com</v>
      </c>
      <c r="H93" t="str">
        <f>_xlfn.XLOOKUP(C93,[1]Customers!$A$1:$A$100,[1]Customers!$G$1:$G$100,,0)</f>
        <v>UK</v>
      </c>
      <c r="I93" t="str">
        <f>_xlfn.XLOOKUP(D93,[2]Products!$A$1:$A$100,[2]Products!$B$1:$B$100,,0)</f>
        <v>Excelsa</v>
      </c>
      <c r="J93" t="str">
        <f>_xlfn.XLOOKUP(D93,[2]Products!$A$1:$A$100,[2]Products!$C$1:$C$100,,0)</f>
        <v>L</v>
      </c>
      <c r="K93">
        <f>_xlfn.XLOOKUP(D93,[2]Products!$A$1:$A$100,[2]Products!$D$1:$D$100,,0)</f>
        <v>0.5</v>
      </c>
      <c r="L93">
        <f>_xlfn.XLOOKUP(D93,[2]Products!$A$1:$A$100,[2]Products!$E$1:$E$100,,0)</f>
        <v>19.291</v>
      </c>
      <c r="M93">
        <f t="shared" si="3"/>
        <v>96.454999999999998</v>
      </c>
      <c r="N93" t="str">
        <f t="shared" si="4"/>
        <v>Excel</v>
      </c>
      <c r="O93" t="str">
        <f t="shared" si="5"/>
        <v>Light</v>
      </c>
      <c r="P93" t="str">
        <f>_xlfn.XLOOKUP([3]Customers!A93,[3]Customers!$A$1:$A$100,[3]Customers!$I$1:$I$100,,0)</f>
        <v>No</v>
      </c>
    </row>
    <row r="94" spans="1:16" x14ac:dyDescent="0.3">
      <c r="A94" t="s">
        <v>204</v>
      </c>
      <c r="B94" s="2">
        <v>43585</v>
      </c>
      <c r="C94" t="s">
        <v>117</v>
      </c>
      <c r="D94" t="s">
        <v>34</v>
      </c>
      <c r="E94">
        <v>3</v>
      </c>
      <c r="F94" t="s">
        <v>254</v>
      </c>
      <c r="G94" t="str">
        <f>IF(_xlfn.XLOOKUP(C94,[1]Customers!$A$1:$A$100,[1]Customers!$C$1:$C$100,,0)=0,"",_xlfn.XLOOKUP(C94,[1]Customers!$A$1:$A$100,[1]Customers!$C$1:$C$100,,0))</f>
        <v>customer@dummy.com</v>
      </c>
      <c r="H94" t="str">
        <f>_xlfn.XLOOKUP(C94,[1]Customers!$A$1:$A$100,[1]Customers!$G$1:$G$100,,0)</f>
        <v>Germany</v>
      </c>
      <c r="I94" t="str">
        <f>_xlfn.XLOOKUP(D94,[2]Products!$A$1:$A$100,[2]Products!$B$1:$B$100,,0)</f>
        <v>Excelsa</v>
      </c>
      <c r="J94" t="str">
        <f>_xlfn.XLOOKUP(D94,[2]Products!$A$1:$A$100,[2]Products!$C$1:$C$100,,0)</f>
        <v>L</v>
      </c>
      <c r="K94">
        <f>_xlfn.XLOOKUP(D94,[2]Products!$A$1:$A$100,[2]Products!$D$1:$D$100,,0)</f>
        <v>0.5</v>
      </c>
      <c r="L94">
        <f>_xlfn.XLOOKUP(D94,[2]Products!$A$1:$A$100,[2]Products!$E$1:$E$100,,0)</f>
        <v>19.291</v>
      </c>
      <c r="M94">
        <f t="shared" si="3"/>
        <v>57.873000000000005</v>
      </c>
      <c r="N94" t="str">
        <f t="shared" si="4"/>
        <v>Excel</v>
      </c>
      <c r="O94" t="str">
        <f t="shared" si="5"/>
        <v>Light</v>
      </c>
      <c r="P94" t="str">
        <f>_xlfn.XLOOKUP([3]Customers!A94,[3]Customers!$A$1:$A$100,[3]Customers!$I$1:$I$100,,0)</f>
        <v>No</v>
      </c>
    </row>
    <row r="95" spans="1:16" x14ac:dyDescent="0.3">
      <c r="A95" t="s">
        <v>205</v>
      </c>
      <c r="B95" s="2">
        <v>44106</v>
      </c>
      <c r="C95" t="s">
        <v>246</v>
      </c>
      <c r="D95" t="s">
        <v>19</v>
      </c>
      <c r="E95">
        <v>1</v>
      </c>
      <c r="F95" t="s">
        <v>251</v>
      </c>
      <c r="G95" t="str">
        <f>IF(_xlfn.XLOOKUP(C95,[1]Customers!$A$1:$A$100,[1]Customers!$C$1:$C$100,,0)=0,"",_xlfn.XLOOKUP(C95,[1]Customers!$A$1:$A$100,[1]Customers!$C$1:$C$100,,0))</f>
        <v>customer@dummy.com</v>
      </c>
      <c r="H95" t="str">
        <f>_xlfn.XLOOKUP(C95,[1]Customers!$A$1:$A$100,[1]Customers!$G$1:$G$100,,0)</f>
        <v>Canada</v>
      </c>
      <c r="I95" t="str">
        <f>_xlfn.XLOOKUP(D95,[2]Products!$A$1:$A$100,[2]Products!$B$1:$B$100,,0)</f>
        <v>Arabica</v>
      </c>
      <c r="J95" t="str">
        <f>_xlfn.XLOOKUP(D95,[2]Products!$A$1:$A$100,[2]Products!$C$1:$C$100,,0)</f>
        <v>D</v>
      </c>
      <c r="K95">
        <f>_xlfn.XLOOKUP(D95,[2]Products!$A$1:$A$100,[2]Products!$D$1:$D$100,,0)</f>
        <v>0.2</v>
      </c>
      <c r="L95">
        <f>_xlfn.XLOOKUP(D95,[2]Products!$A$1:$A$100,[2]Products!$E$1:$E$100,,0)</f>
        <v>5.7619999999999996</v>
      </c>
      <c r="M95">
        <f t="shared" si="3"/>
        <v>5.7619999999999996</v>
      </c>
      <c r="N95" t="str">
        <f t="shared" si="4"/>
        <v>Ara</v>
      </c>
      <c r="O95" t="str">
        <f t="shared" si="5"/>
        <v>Dark</v>
      </c>
      <c r="P95" t="str">
        <f>_xlfn.XLOOKUP([3]Customers!A95,[3]Customers!$A$1:$A$100,[3]Customers!$I$1:$I$100,,0)</f>
        <v>No</v>
      </c>
    </row>
    <row r="96" spans="1:16" x14ac:dyDescent="0.3">
      <c r="A96" t="s">
        <v>206</v>
      </c>
      <c r="B96" s="2">
        <v>44217</v>
      </c>
      <c r="C96" t="s">
        <v>190</v>
      </c>
      <c r="D96" t="s">
        <v>23</v>
      </c>
      <c r="E96">
        <v>3</v>
      </c>
      <c r="F96" t="s">
        <v>107</v>
      </c>
      <c r="G96" t="str">
        <f>IF(_xlfn.XLOOKUP(C96,[1]Customers!$A$1:$A$100,[1]Customers!$C$1:$C$100,,0)=0,"",_xlfn.XLOOKUP(C96,[1]Customers!$A$1:$A$100,[1]Customers!$C$1:$C$100,,0))</f>
        <v>customer@dummy.com</v>
      </c>
      <c r="H96" t="str">
        <f>_xlfn.XLOOKUP(C96,[1]Customers!$A$1:$A$100,[1]Customers!$G$1:$G$100,,0)</f>
        <v>USA</v>
      </c>
      <c r="I96" t="str">
        <f>_xlfn.XLOOKUP(D96,[2]Products!$A$1:$A$100,[2]Products!$B$1:$B$100,,0)</f>
        <v>Liberica</v>
      </c>
      <c r="J96" t="str">
        <f>_xlfn.XLOOKUP(D96,[2]Products!$A$1:$A$100,[2]Products!$C$1:$C$100,,0)</f>
        <v>L</v>
      </c>
      <c r="K96">
        <f>_xlfn.XLOOKUP(D96,[2]Products!$A$1:$A$100,[2]Products!$D$1:$D$100,,0)</f>
        <v>0.5</v>
      </c>
      <c r="L96">
        <f>_xlfn.XLOOKUP(D96,[2]Products!$A$1:$A$100,[2]Products!$E$1:$E$100,,0)</f>
        <v>11.098000000000001</v>
      </c>
      <c r="M96">
        <f t="shared" si="3"/>
        <v>33.294000000000004</v>
      </c>
      <c r="N96" t="str">
        <f t="shared" si="4"/>
        <v>Lib</v>
      </c>
      <c r="O96" t="str">
        <f t="shared" si="5"/>
        <v>Light</v>
      </c>
      <c r="P96" t="str">
        <f>_xlfn.XLOOKUP([3]Customers!A96,[3]Customers!$A$1:$A$100,[3]Customers!$I$1:$I$100,,0)</f>
        <v>No</v>
      </c>
    </row>
    <row r="97" spans="1:16" x14ac:dyDescent="0.3">
      <c r="A97" t="s">
        <v>208</v>
      </c>
      <c r="B97" s="2">
        <v>45359</v>
      </c>
      <c r="C97" t="s">
        <v>126</v>
      </c>
      <c r="D97" t="s">
        <v>19</v>
      </c>
      <c r="E97">
        <v>6</v>
      </c>
      <c r="F97" t="s">
        <v>42</v>
      </c>
      <c r="G97" t="str">
        <f>IF(_xlfn.XLOOKUP(C97,[1]Customers!$A$1:$A$100,[1]Customers!$C$1:$C$100,,0)=0,"",_xlfn.XLOOKUP(C97,[1]Customers!$A$1:$A$100,[1]Customers!$C$1:$C$100,,0))</f>
        <v/>
      </c>
      <c r="H97" t="str">
        <f>_xlfn.XLOOKUP(C97,[1]Customers!$A$1:$A$100,[1]Customers!$G$1:$G$100,,0)</f>
        <v>Canada</v>
      </c>
      <c r="I97" t="str">
        <f>_xlfn.XLOOKUP(D97,[2]Products!$A$1:$A$100,[2]Products!$B$1:$B$100,,0)</f>
        <v>Arabica</v>
      </c>
      <c r="J97" t="str">
        <f>_xlfn.XLOOKUP(D97,[2]Products!$A$1:$A$100,[2]Products!$C$1:$C$100,,0)</f>
        <v>D</v>
      </c>
      <c r="K97">
        <f>_xlfn.XLOOKUP(D97,[2]Products!$A$1:$A$100,[2]Products!$D$1:$D$100,,0)</f>
        <v>0.2</v>
      </c>
      <c r="L97">
        <f>_xlfn.XLOOKUP(D97,[2]Products!$A$1:$A$100,[2]Products!$E$1:$E$100,,0)</f>
        <v>5.7619999999999996</v>
      </c>
      <c r="M97">
        <f t="shared" si="3"/>
        <v>34.571999999999996</v>
      </c>
      <c r="N97" t="str">
        <f t="shared" si="4"/>
        <v>Ara</v>
      </c>
      <c r="O97" t="str">
        <f t="shared" si="5"/>
        <v>Dark</v>
      </c>
      <c r="P97" t="str">
        <f>_xlfn.XLOOKUP([3]Customers!A97,[3]Customers!$A$1:$A$100,[3]Customers!$I$1:$I$100,,0)</f>
        <v>No</v>
      </c>
    </row>
    <row r="98" spans="1:16" x14ac:dyDescent="0.3">
      <c r="A98" t="s">
        <v>209</v>
      </c>
      <c r="B98" s="2">
        <v>44438</v>
      </c>
      <c r="C98" t="s">
        <v>247</v>
      </c>
      <c r="D98" t="s">
        <v>51</v>
      </c>
      <c r="E98">
        <v>3</v>
      </c>
      <c r="F98" t="s">
        <v>138</v>
      </c>
      <c r="G98" t="str">
        <f>IF(_xlfn.XLOOKUP(C98,[1]Customers!$A$1:$A$100,[1]Customers!$C$1:$C$100,,0)=0,"",_xlfn.XLOOKUP(C98,[1]Customers!$A$1:$A$100,[1]Customers!$C$1:$C$100,,0))</f>
        <v>customer@dummy.com</v>
      </c>
      <c r="H98" t="str">
        <f>_xlfn.XLOOKUP(C98,[1]Customers!$A$1:$A$100,[1]Customers!$G$1:$G$100,,0)</f>
        <v>UK</v>
      </c>
      <c r="I98" t="str">
        <f>_xlfn.XLOOKUP(D98,[2]Products!$A$1:$A$100,[2]Products!$B$1:$B$100,,0)</f>
        <v>Robusta</v>
      </c>
      <c r="J98" t="str">
        <f>_xlfn.XLOOKUP(D98,[2]Products!$A$1:$A$100,[2]Products!$C$1:$C$100,,0)</f>
        <v>M</v>
      </c>
      <c r="K98">
        <f>_xlfn.XLOOKUP(D98,[2]Products!$A$1:$A$100,[2]Products!$D$1:$D$100,,0)</f>
        <v>1</v>
      </c>
      <c r="L98">
        <f>_xlfn.XLOOKUP(D98,[2]Products!$A$1:$A$100,[2]Products!$E$1:$E$100,,0)</f>
        <v>38.543999999999997</v>
      </c>
      <c r="M98">
        <f t="shared" si="3"/>
        <v>115.63199999999999</v>
      </c>
      <c r="N98" t="str">
        <f t="shared" si="4"/>
        <v>Rob</v>
      </c>
      <c r="O98" t="str">
        <f t="shared" si="5"/>
        <v>Medium</v>
      </c>
      <c r="P98" t="str">
        <f>_xlfn.XLOOKUP([3]Customers!A98,[3]Customers!$A$1:$A$100,[3]Customers!$I$1:$I$100,,0)</f>
        <v>Yes</v>
      </c>
    </row>
    <row r="99" spans="1:16" x14ac:dyDescent="0.3">
      <c r="A99" t="s">
        <v>211</v>
      </c>
      <c r="B99" s="2">
        <v>44346</v>
      </c>
      <c r="C99" t="s">
        <v>248</v>
      </c>
      <c r="D99" t="s">
        <v>34</v>
      </c>
      <c r="E99">
        <v>2</v>
      </c>
      <c r="F99" t="s">
        <v>264</v>
      </c>
      <c r="G99" t="str">
        <f>IF(_xlfn.XLOOKUP(C99,[1]Customers!$A$1:$A$100,[1]Customers!$C$1:$C$100,,0)=0,"",_xlfn.XLOOKUP(C99,[1]Customers!$A$1:$A$100,[1]Customers!$C$1:$C$100,,0))</f>
        <v>customer@dummy.com</v>
      </c>
      <c r="H99" t="str">
        <f>_xlfn.XLOOKUP(C99,[1]Customers!$A$1:$A$100,[1]Customers!$G$1:$G$100,,0)</f>
        <v>Germany</v>
      </c>
      <c r="I99" t="str">
        <f>_xlfn.XLOOKUP(D99,[2]Products!$A$1:$A$100,[2]Products!$B$1:$B$100,,0)</f>
        <v>Excelsa</v>
      </c>
      <c r="J99" t="str">
        <f>_xlfn.XLOOKUP(D99,[2]Products!$A$1:$A$100,[2]Products!$C$1:$C$100,,0)</f>
        <v>L</v>
      </c>
      <c r="K99">
        <f>_xlfn.XLOOKUP(D99,[2]Products!$A$1:$A$100,[2]Products!$D$1:$D$100,,0)</f>
        <v>0.5</v>
      </c>
      <c r="L99">
        <f>_xlfn.XLOOKUP(D99,[2]Products!$A$1:$A$100,[2]Products!$E$1:$E$100,,0)</f>
        <v>19.291</v>
      </c>
      <c r="M99">
        <f t="shared" si="3"/>
        <v>38.582000000000001</v>
      </c>
      <c r="N99" t="str">
        <f t="shared" si="4"/>
        <v>Excel</v>
      </c>
      <c r="O99" t="str">
        <f t="shared" si="5"/>
        <v>Light</v>
      </c>
      <c r="P99" t="str">
        <f>_xlfn.XLOOKUP([3]Customers!A99,[3]Customers!$A$1:$A$100,[3]Customers!$I$1:$I$100,,0)</f>
        <v>Yes</v>
      </c>
    </row>
    <row r="100" spans="1:16" x14ac:dyDescent="0.3">
      <c r="A100" t="s">
        <v>213</v>
      </c>
      <c r="B100" s="2">
        <v>45176</v>
      </c>
      <c r="C100" t="s">
        <v>123</v>
      </c>
      <c r="D100" t="s">
        <v>15</v>
      </c>
      <c r="E100">
        <v>2</v>
      </c>
      <c r="F100" t="s">
        <v>110</v>
      </c>
      <c r="G100" t="str">
        <f>IF(_xlfn.XLOOKUP(C100,[1]Customers!$A$1:$A$100,[1]Customers!$C$1:$C$100,,0)=0,"",_xlfn.XLOOKUP(C100,[1]Customers!$A$1:$A$100,[1]Customers!$C$1:$C$100,,0))</f>
        <v>customer@dummy.com</v>
      </c>
      <c r="H100" t="str">
        <f>_xlfn.XLOOKUP(C100,[1]Customers!$A$1:$A$100,[1]Customers!$G$1:$G$100,,0)</f>
        <v>USA</v>
      </c>
      <c r="I100" t="str">
        <f>_xlfn.XLOOKUP(D100,[2]Products!$A$1:$A$100,[2]Products!$B$1:$B$100,,0)</f>
        <v>Robusta</v>
      </c>
      <c r="J100" t="str">
        <f>_xlfn.XLOOKUP(D100,[2]Products!$A$1:$A$100,[2]Products!$C$1:$C$100,,0)</f>
        <v>M</v>
      </c>
      <c r="K100">
        <f>_xlfn.XLOOKUP(D100,[2]Products!$A$1:$A$100,[2]Products!$D$1:$D$100,,0)</f>
        <v>1</v>
      </c>
      <c r="L100">
        <f>_xlfn.XLOOKUP(D100,[2]Products!$A$1:$A$100,[2]Products!$E$1:$E$100,,0)</f>
        <v>29.852</v>
      </c>
      <c r="M100">
        <f t="shared" si="3"/>
        <v>59.704000000000001</v>
      </c>
      <c r="N100" t="str">
        <f t="shared" si="4"/>
        <v>Rob</v>
      </c>
      <c r="O100" t="str">
        <f t="shared" si="5"/>
        <v>Medium</v>
      </c>
      <c r="P100" t="str">
        <f>_xlfn.XLOOKUP([3]Customers!A100,[3]Customers!$A$1:$A$100,[3]Customers!$I$1:$I$100,,0)</f>
        <v>Yes</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9F599-C5F0-4382-879A-1D2A44BFBC0C}">
  <dimension ref="A1:I100"/>
  <sheetViews>
    <sheetView workbookViewId="0">
      <selection activeCell="J21" sqref="J21"/>
    </sheetView>
  </sheetViews>
  <sheetFormatPr defaultRowHeight="14.4" x14ac:dyDescent="0.3"/>
  <cols>
    <col min="1" max="1" width="11.109375" bestFit="1" customWidth="1"/>
    <col min="2" max="2" width="16.21875" bestFit="1" customWidth="1"/>
    <col min="3" max="3" width="20.77734375" bestFit="1" customWidth="1"/>
    <col min="4" max="4" width="14.5546875" bestFit="1" customWidth="1"/>
    <col min="5" max="5" width="14" bestFit="1" customWidth="1"/>
    <col min="6" max="6" width="10.6640625" bestFit="1" customWidth="1"/>
    <col min="7" max="7" width="8.33203125" bestFit="1" customWidth="1"/>
    <col min="8" max="8" width="8.5546875" bestFit="1" customWidth="1"/>
    <col min="9" max="9" width="11.109375" bestFit="1" customWidth="1"/>
  </cols>
  <sheetData>
    <row r="1" spans="1:9" x14ac:dyDescent="0.3">
      <c r="A1" t="s">
        <v>2</v>
      </c>
      <c r="B1" t="s">
        <v>5</v>
      </c>
      <c r="C1" t="s">
        <v>6</v>
      </c>
      <c r="D1" t="s">
        <v>290</v>
      </c>
      <c r="E1" t="s">
        <v>291</v>
      </c>
      <c r="F1" t="s">
        <v>292</v>
      </c>
      <c r="G1" t="s">
        <v>7</v>
      </c>
      <c r="H1" t="s">
        <v>293</v>
      </c>
      <c r="I1" t="s">
        <v>294</v>
      </c>
    </row>
    <row r="2" spans="1:9" x14ac:dyDescent="0.3">
      <c r="A2" t="s">
        <v>99</v>
      </c>
      <c r="B2" t="s">
        <v>81</v>
      </c>
      <c r="C2" t="s">
        <v>295</v>
      </c>
      <c r="D2" t="s">
        <v>296</v>
      </c>
      <c r="E2" t="s">
        <v>297</v>
      </c>
      <c r="F2" t="s">
        <v>298</v>
      </c>
      <c r="G2" t="s">
        <v>299</v>
      </c>
      <c r="H2" t="s">
        <v>300</v>
      </c>
      <c r="I2" t="s">
        <v>301</v>
      </c>
    </row>
    <row r="3" spans="1:9" x14ac:dyDescent="0.3">
      <c r="A3" t="s">
        <v>214</v>
      </c>
      <c r="B3" t="s">
        <v>249</v>
      </c>
      <c r="C3" t="s">
        <v>295</v>
      </c>
      <c r="D3" t="s">
        <v>302</v>
      </c>
      <c r="E3" t="s">
        <v>303</v>
      </c>
      <c r="F3" t="s">
        <v>304</v>
      </c>
      <c r="G3" t="s">
        <v>305</v>
      </c>
      <c r="H3" t="s">
        <v>306</v>
      </c>
      <c r="I3" t="s">
        <v>301</v>
      </c>
    </row>
    <row r="4" spans="1:9" x14ac:dyDescent="0.3">
      <c r="A4" t="s">
        <v>215</v>
      </c>
      <c r="B4" t="s">
        <v>42</v>
      </c>
      <c r="C4" t="s">
        <v>295</v>
      </c>
      <c r="D4" t="s">
        <v>307</v>
      </c>
      <c r="E4" t="s">
        <v>308</v>
      </c>
      <c r="F4" t="s">
        <v>309</v>
      </c>
      <c r="G4" t="s">
        <v>310</v>
      </c>
      <c r="H4" t="s">
        <v>311</v>
      </c>
      <c r="I4" t="s">
        <v>312</v>
      </c>
    </row>
    <row r="5" spans="1:9" x14ac:dyDescent="0.3">
      <c r="A5" t="s">
        <v>77</v>
      </c>
      <c r="B5" t="s">
        <v>250</v>
      </c>
      <c r="C5" t="s">
        <v>295</v>
      </c>
      <c r="D5" t="s">
        <v>313</v>
      </c>
      <c r="E5" t="s">
        <v>314</v>
      </c>
      <c r="F5" t="s">
        <v>315</v>
      </c>
      <c r="G5" t="s">
        <v>316</v>
      </c>
      <c r="H5" t="s">
        <v>317</v>
      </c>
      <c r="I5" t="s">
        <v>301</v>
      </c>
    </row>
    <row r="6" spans="1:9" x14ac:dyDescent="0.3">
      <c r="A6" t="s">
        <v>53</v>
      </c>
      <c r="B6" t="s">
        <v>251</v>
      </c>
      <c r="C6" t="s">
        <v>295</v>
      </c>
      <c r="D6" t="s">
        <v>318</v>
      </c>
      <c r="E6" t="s">
        <v>319</v>
      </c>
      <c r="F6" t="s">
        <v>320</v>
      </c>
      <c r="G6" t="s">
        <v>321</v>
      </c>
      <c r="H6" t="s">
        <v>322</v>
      </c>
      <c r="I6" t="s">
        <v>312</v>
      </c>
    </row>
    <row r="7" spans="1:9" x14ac:dyDescent="0.3">
      <c r="A7" t="s">
        <v>104</v>
      </c>
      <c r="B7" t="s">
        <v>20</v>
      </c>
      <c r="C7" t="s">
        <v>295</v>
      </c>
      <c r="D7" t="s">
        <v>323</v>
      </c>
      <c r="E7" t="s">
        <v>324</v>
      </c>
      <c r="F7" t="s">
        <v>325</v>
      </c>
      <c r="G7" t="s">
        <v>326</v>
      </c>
      <c r="H7" t="s">
        <v>327</v>
      </c>
      <c r="I7" t="s">
        <v>312</v>
      </c>
    </row>
    <row r="8" spans="1:9" x14ac:dyDescent="0.3">
      <c r="A8" t="s">
        <v>48</v>
      </c>
      <c r="B8" t="s">
        <v>249</v>
      </c>
      <c r="C8" t="s">
        <v>295</v>
      </c>
      <c r="D8" t="s">
        <v>328</v>
      </c>
      <c r="E8" t="s">
        <v>329</v>
      </c>
      <c r="F8" t="s">
        <v>315</v>
      </c>
      <c r="G8" t="s">
        <v>316</v>
      </c>
      <c r="H8" t="s">
        <v>330</v>
      </c>
      <c r="I8" t="s">
        <v>312</v>
      </c>
    </row>
    <row r="9" spans="1:9" x14ac:dyDescent="0.3">
      <c r="A9" t="s">
        <v>132</v>
      </c>
      <c r="B9" t="s">
        <v>42</v>
      </c>
      <c r="C9" t="s">
        <v>295</v>
      </c>
      <c r="D9" t="s">
        <v>331</v>
      </c>
      <c r="E9" t="s">
        <v>332</v>
      </c>
      <c r="F9" t="s">
        <v>333</v>
      </c>
      <c r="G9" t="s">
        <v>305</v>
      </c>
      <c r="H9" t="s">
        <v>334</v>
      </c>
      <c r="I9" t="s">
        <v>301</v>
      </c>
    </row>
    <row r="10" spans="1:9" x14ac:dyDescent="0.3">
      <c r="A10" t="s">
        <v>37</v>
      </c>
      <c r="B10" t="s">
        <v>107</v>
      </c>
      <c r="C10" t="s">
        <v>295</v>
      </c>
      <c r="D10" t="s">
        <v>335</v>
      </c>
      <c r="E10" t="s">
        <v>336</v>
      </c>
      <c r="F10" t="s">
        <v>337</v>
      </c>
      <c r="G10" t="s">
        <v>326</v>
      </c>
      <c r="H10" t="s">
        <v>338</v>
      </c>
      <c r="I10" t="s">
        <v>301</v>
      </c>
    </row>
    <row r="11" spans="1:9" x14ac:dyDescent="0.3">
      <c r="A11" t="s">
        <v>129</v>
      </c>
      <c r="B11" t="s">
        <v>252</v>
      </c>
      <c r="C11" t="s">
        <v>295</v>
      </c>
      <c r="D11" t="s">
        <v>339</v>
      </c>
      <c r="E11" t="s">
        <v>340</v>
      </c>
      <c r="F11" t="s">
        <v>341</v>
      </c>
      <c r="G11" t="s">
        <v>299</v>
      </c>
      <c r="H11" t="s">
        <v>342</v>
      </c>
      <c r="I11" t="s">
        <v>301</v>
      </c>
    </row>
    <row r="12" spans="1:9" x14ac:dyDescent="0.3">
      <c r="A12" t="s">
        <v>216</v>
      </c>
      <c r="B12" t="s">
        <v>253</v>
      </c>
      <c r="C12" t="s">
        <v>295</v>
      </c>
      <c r="D12" t="s">
        <v>343</v>
      </c>
      <c r="E12" t="s">
        <v>344</v>
      </c>
      <c r="F12" t="s">
        <v>345</v>
      </c>
      <c r="G12" t="s">
        <v>305</v>
      </c>
      <c r="H12" t="s">
        <v>346</v>
      </c>
      <c r="I12" t="s">
        <v>312</v>
      </c>
    </row>
    <row r="13" spans="1:9" x14ac:dyDescent="0.3">
      <c r="A13" t="s">
        <v>109</v>
      </c>
      <c r="B13" t="s">
        <v>251</v>
      </c>
      <c r="C13" t="s">
        <v>295</v>
      </c>
      <c r="D13" t="s">
        <v>347</v>
      </c>
      <c r="E13" t="s">
        <v>348</v>
      </c>
      <c r="F13" t="s">
        <v>349</v>
      </c>
      <c r="G13" t="s">
        <v>305</v>
      </c>
      <c r="H13" t="s">
        <v>350</v>
      </c>
      <c r="I13" t="s">
        <v>312</v>
      </c>
    </row>
    <row r="14" spans="1:9" x14ac:dyDescent="0.3">
      <c r="A14" t="s">
        <v>69</v>
      </c>
      <c r="B14" t="s">
        <v>110</v>
      </c>
      <c r="C14" t="s">
        <v>295</v>
      </c>
      <c r="D14" t="s">
        <v>351</v>
      </c>
      <c r="E14" t="s">
        <v>352</v>
      </c>
      <c r="F14" t="s">
        <v>353</v>
      </c>
      <c r="G14" t="s">
        <v>310</v>
      </c>
      <c r="H14" t="s">
        <v>354</v>
      </c>
      <c r="I14" t="s">
        <v>312</v>
      </c>
    </row>
    <row r="15" spans="1:9" x14ac:dyDescent="0.3">
      <c r="A15" t="s">
        <v>62</v>
      </c>
      <c r="B15" t="s">
        <v>64</v>
      </c>
      <c r="C15" t="s">
        <v>295</v>
      </c>
      <c r="D15" t="s">
        <v>355</v>
      </c>
      <c r="E15" t="s">
        <v>356</v>
      </c>
      <c r="F15" t="s">
        <v>333</v>
      </c>
      <c r="G15" t="s">
        <v>305</v>
      </c>
      <c r="H15" t="s">
        <v>357</v>
      </c>
      <c r="I15" t="s">
        <v>301</v>
      </c>
    </row>
    <row r="16" spans="1:9" x14ac:dyDescent="0.3">
      <c r="A16" t="s">
        <v>217</v>
      </c>
      <c r="B16" t="s">
        <v>46</v>
      </c>
      <c r="C16" t="s">
        <v>295</v>
      </c>
      <c r="D16" t="s">
        <v>358</v>
      </c>
      <c r="E16" t="s">
        <v>359</v>
      </c>
      <c r="F16" t="s">
        <v>298</v>
      </c>
      <c r="G16" t="s">
        <v>299</v>
      </c>
      <c r="H16" t="s">
        <v>360</v>
      </c>
      <c r="I16" t="s">
        <v>312</v>
      </c>
    </row>
    <row r="17" spans="1:9" x14ac:dyDescent="0.3">
      <c r="A17" t="s">
        <v>80</v>
      </c>
      <c r="B17" t="s">
        <v>254</v>
      </c>
      <c r="C17" t="s">
        <v>295</v>
      </c>
      <c r="D17" t="s">
        <v>361</v>
      </c>
      <c r="E17" t="s">
        <v>362</v>
      </c>
      <c r="F17" t="s">
        <v>315</v>
      </c>
      <c r="G17" t="s">
        <v>316</v>
      </c>
      <c r="H17" t="s">
        <v>363</v>
      </c>
      <c r="I17" t="s">
        <v>312</v>
      </c>
    </row>
    <row r="18" spans="1:9" x14ac:dyDescent="0.3">
      <c r="A18" t="s">
        <v>136</v>
      </c>
      <c r="B18" t="s">
        <v>90</v>
      </c>
      <c r="C18" t="s">
        <v>295</v>
      </c>
      <c r="D18" t="s">
        <v>364</v>
      </c>
      <c r="E18" t="s">
        <v>365</v>
      </c>
      <c r="F18" t="s">
        <v>366</v>
      </c>
      <c r="G18" t="s">
        <v>321</v>
      </c>
      <c r="H18" t="s">
        <v>367</v>
      </c>
      <c r="I18" t="s">
        <v>301</v>
      </c>
    </row>
    <row r="19" spans="1:9" x14ac:dyDescent="0.3">
      <c r="A19" t="s">
        <v>30</v>
      </c>
      <c r="B19" t="s">
        <v>75</v>
      </c>
      <c r="C19" t="s">
        <v>295</v>
      </c>
      <c r="D19" t="s">
        <v>368</v>
      </c>
      <c r="E19" t="s">
        <v>369</v>
      </c>
      <c r="F19" t="s">
        <v>325</v>
      </c>
      <c r="G19" t="s">
        <v>326</v>
      </c>
      <c r="H19" t="s">
        <v>370</v>
      </c>
      <c r="I19" t="s">
        <v>301</v>
      </c>
    </row>
    <row r="20" spans="1:9" x14ac:dyDescent="0.3">
      <c r="A20" t="s">
        <v>218</v>
      </c>
      <c r="B20" t="s">
        <v>250</v>
      </c>
      <c r="C20" t="s">
        <v>295</v>
      </c>
      <c r="D20" t="s">
        <v>371</v>
      </c>
      <c r="E20" t="s">
        <v>372</v>
      </c>
      <c r="F20" t="s">
        <v>298</v>
      </c>
      <c r="G20" t="s">
        <v>299</v>
      </c>
      <c r="H20" t="s">
        <v>373</v>
      </c>
      <c r="I20" t="s">
        <v>312</v>
      </c>
    </row>
    <row r="21" spans="1:9" x14ac:dyDescent="0.3">
      <c r="A21" t="s">
        <v>172</v>
      </c>
      <c r="B21" t="s">
        <v>75</v>
      </c>
      <c r="C21" t="s">
        <v>295</v>
      </c>
      <c r="D21" t="s">
        <v>374</v>
      </c>
      <c r="E21" t="s">
        <v>375</v>
      </c>
      <c r="F21" t="s">
        <v>349</v>
      </c>
      <c r="G21" t="s">
        <v>305</v>
      </c>
      <c r="H21" t="s">
        <v>376</v>
      </c>
      <c r="I21" t="s">
        <v>301</v>
      </c>
    </row>
    <row r="22" spans="1:9" x14ac:dyDescent="0.3">
      <c r="A22" t="s">
        <v>198</v>
      </c>
      <c r="B22" t="s">
        <v>255</v>
      </c>
      <c r="C22" t="s">
        <v>295</v>
      </c>
      <c r="D22" t="s">
        <v>377</v>
      </c>
      <c r="E22" t="s">
        <v>378</v>
      </c>
      <c r="F22" t="s">
        <v>379</v>
      </c>
      <c r="G22" t="s">
        <v>321</v>
      </c>
      <c r="H22" t="s">
        <v>380</v>
      </c>
      <c r="I22" t="s">
        <v>312</v>
      </c>
    </row>
    <row r="23" spans="1:9" x14ac:dyDescent="0.3">
      <c r="A23" t="s">
        <v>163</v>
      </c>
      <c r="B23" t="s">
        <v>256</v>
      </c>
      <c r="C23" t="s">
        <v>295</v>
      </c>
      <c r="D23" t="s">
        <v>381</v>
      </c>
      <c r="E23" t="s">
        <v>382</v>
      </c>
      <c r="F23" t="s">
        <v>383</v>
      </c>
      <c r="G23" t="s">
        <v>299</v>
      </c>
      <c r="H23" t="s">
        <v>384</v>
      </c>
      <c r="I23" t="s">
        <v>312</v>
      </c>
    </row>
    <row r="24" spans="1:9" x14ac:dyDescent="0.3">
      <c r="A24" t="s">
        <v>184</v>
      </c>
      <c r="B24" t="s">
        <v>257</v>
      </c>
      <c r="C24" t="s">
        <v>295</v>
      </c>
      <c r="D24" t="s">
        <v>385</v>
      </c>
      <c r="E24" t="s">
        <v>386</v>
      </c>
      <c r="F24" t="s">
        <v>341</v>
      </c>
      <c r="G24" t="s">
        <v>299</v>
      </c>
      <c r="H24" t="s">
        <v>387</v>
      </c>
      <c r="I24" t="s">
        <v>301</v>
      </c>
    </row>
    <row r="25" spans="1:9" x14ac:dyDescent="0.3">
      <c r="A25" t="s">
        <v>219</v>
      </c>
      <c r="B25" t="s">
        <v>258</v>
      </c>
      <c r="C25" t="s">
        <v>295</v>
      </c>
      <c r="D25" t="s">
        <v>388</v>
      </c>
      <c r="E25" t="s">
        <v>389</v>
      </c>
      <c r="F25" t="s">
        <v>390</v>
      </c>
      <c r="G25" t="s">
        <v>310</v>
      </c>
      <c r="H25" t="s">
        <v>391</v>
      </c>
      <c r="I25" t="s">
        <v>312</v>
      </c>
    </row>
    <row r="26" spans="1:9" x14ac:dyDescent="0.3">
      <c r="A26" t="s">
        <v>220</v>
      </c>
      <c r="B26" t="s">
        <v>60</v>
      </c>
      <c r="C26" t="s">
        <v>295</v>
      </c>
      <c r="D26" t="s">
        <v>392</v>
      </c>
      <c r="E26" t="s">
        <v>393</v>
      </c>
      <c r="F26" t="s">
        <v>394</v>
      </c>
      <c r="G26" t="s">
        <v>310</v>
      </c>
      <c r="H26" t="s">
        <v>395</v>
      </c>
      <c r="I26" t="s">
        <v>301</v>
      </c>
    </row>
    <row r="27" spans="1:9" x14ac:dyDescent="0.3">
      <c r="A27" t="s">
        <v>66</v>
      </c>
      <c r="B27" t="s">
        <v>81</v>
      </c>
      <c r="C27" t="s">
        <v>295</v>
      </c>
      <c r="D27" t="s">
        <v>396</v>
      </c>
      <c r="E27" t="s">
        <v>397</v>
      </c>
      <c r="F27" t="s">
        <v>398</v>
      </c>
      <c r="G27" t="s">
        <v>316</v>
      </c>
      <c r="H27" t="s">
        <v>399</v>
      </c>
      <c r="I27" t="s">
        <v>312</v>
      </c>
    </row>
    <row r="28" spans="1:9" x14ac:dyDescent="0.3">
      <c r="A28" t="s">
        <v>221</v>
      </c>
      <c r="B28" t="s">
        <v>107</v>
      </c>
      <c r="C28" t="s">
        <v>295</v>
      </c>
      <c r="D28" t="s">
        <v>400</v>
      </c>
      <c r="E28" t="s">
        <v>401</v>
      </c>
      <c r="F28" t="s">
        <v>402</v>
      </c>
      <c r="G28" t="s">
        <v>305</v>
      </c>
      <c r="H28" t="s">
        <v>403</v>
      </c>
      <c r="I28" t="s">
        <v>301</v>
      </c>
    </row>
    <row r="29" spans="1:9" x14ac:dyDescent="0.3">
      <c r="A29" t="s">
        <v>222</v>
      </c>
      <c r="B29" t="s">
        <v>28</v>
      </c>
      <c r="C29" t="s">
        <v>295</v>
      </c>
      <c r="D29" t="s">
        <v>404</v>
      </c>
      <c r="E29" t="s">
        <v>405</v>
      </c>
      <c r="F29" t="s">
        <v>325</v>
      </c>
      <c r="G29" t="s">
        <v>326</v>
      </c>
      <c r="H29" t="s">
        <v>406</v>
      </c>
      <c r="I29" t="s">
        <v>312</v>
      </c>
    </row>
    <row r="30" spans="1:9" x14ac:dyDescent="0.3">
      <c r="A30" t="s">
        <v>223</v>
      </c>
      <c r="B30" t="s">
        <v>254</v>
      </c>
      <c r="C30" t="s">
        <v>295</v>
      </c>
      <c r="D30" t="s">
        <v>407</v>
      </c>
      <c r="E30" t="s">
        <v>408</v>
      </c>
      <c r="F30" t="s">
        <v>409</v>
      </c>
      <c r="G30" t="s">
        <v>321</v>
      </c>
      <c r="H30" t="s">
        <v>410</v>
      </c>
      <c r="I30" t="s">
        <v>301</v>
      </c>
    </row>
    <row r="31" spans="1:9" x14ac:dyDescent="0.3">
      <c r="A31" t="s">
        <v>181</v>
      </c>
      <c r="B31" t="s">
        <v>252</v>
      </c>
      <c r="C31" t="s">
        <v>295</v>
      </c>
      <c r="D31" t="s">
        <v>411</v>
      </c>
      <c r="E31" t="s">
        <v>412</v>
      </c>
      <c r="F31" t="s">
        <v>320</v>
      </c>
      <c r="G31" t="s">
        <v>321</v>
      </c>
      <c r="H31" t="s">
        <v>413</v>
      </c>
      <c r="I31" t="s">
        <v>301</v>
      </c>
    </row>
    <row r="32" spans="1:9" x14ac:dyDescent="0.3">
      <c r="A32" t="s">
        <v>224</v>
      </c>
      <c r="B32" t="s">
        <v>81</v>
      </c>
      <c r="C32" t="s">
        <v>295</v>
      </c>
      <c r="D32" t="s">
        <v>414</v>
      </c>
      <c r="E32" t="s">
        <v>415</v>
      </c>
      <c r="F32" t="s">
        <v>416</v>
      </c>
      <c r="G32" t="s">
        <v>305</v>
      </c>
      <c r="H32" t="s">
        <v>417</v>
      </c>
      <c r="I32" t="s">
        <v>301</v>
      </c>
    </row>
    <row r="33" spans="1:9" x14ac:dyDescent="0.3">
      <c r="A33" t="s">
        <v>207</v>
      </c>
      <c r="B33" t="s">
        <v>28</v>
      </c>
      <c r="C33" t="s">
        <v>295</v>
      </c>
      <c r="D33" t="s">
        <v>418</v>
      </c>
      <c r="E33" t="s">
        <v>419</v>
      </c>
      <c r="F33" t="s">
        <v>420</v>
      </c>
      <c r="G33" t="s">
        <v>310</v>
      </c>
      <c r="H33" t="s">
        <v>421</v>
      </c>
      <c r="I33" t="s">
        <v>301</v>
      </c>
    </row>
    <row r="34" spans="1:9" x14ac:dyDescent="0.3">
      <c r="A34" t="s">
        <v>95</v>
      </c>
      <c r="B34" t="s">
        <v>16</v>
      </c>
      <c r="C34" t="s">
        <v>295</v>
      </c>
      <c r="D34" t="s">
        <v>422</v>
      </c>
      <c r="E34" t="s">
        <v>423</v>
      </c>
      <c r="F34" t="s">
        <v>315</v>
      </c>
      <c r="G34" t="s">
        <v>316</v>
      </c>
      <c r="H34" t="s">
        <v>424</v>
      </c>
      <c r="I34" t="s">
        <v>312</v>
      </c>
    </row>
    <row r="35" spans="1:9" x14ac:dyDescent="0.3">
      <c r="A35" t="s">
        <v>225</v>
      </c>
      <c r="B35" t="s">
        <v>252</v>
      </c>
      <c r="C35" t="s">
        <v>295</v>
      </c>
      <c r="D35" t="s">
        <v>425</v>
      </c>
      <c r="E35" t="s">
        <v>359</v>
      </c>
      <c r="F35" t="s">
        <v>337</v>
      </c>
      <c r="G35" t="s">
        <v>326</v>
      </c>
      <c r="H35" t="s">
        <v>426</v>
      </c>
      <c r="I35" t="s">
        <v>301</v>
      </c>
    </row>
    <row r="36" spans="1:9" x14ac:dyDescent="0.3">
      <c r="A36" t="s">
        <v>226</v>
      </c>
      <c r="B36" t="s">
        <v>259</v>
      </c>
      <c r="C36" t="s">
        <v>295</v>
      </c>
      <c r="D36" t="s">
        <v>427</v>
      </c>
      <c r="E36" t="s">
        <v>428</v>
      </c>
      <c r="F36" t="s">
        <v>304</v>
      </c>
      <c r="G36" t="s">
        <v>305</v>
      </c>
      <c r="H36" t="s">
        <v>429</v>
      </c>
      <c r="I36" t="s">
        <v>312</v>
      </c>
    </row>
    <row r="37" spans="1:9" x14ac:dyDescent="0.3">
      <c r="A37" t="s">
        <v>227</v>
      </c>
      <c r="B37" t="s">
        <v>259</v>
      </c>
      <c r="C37" t="s">
        <v>295</v>
      </c>
      <c r="D37" t="s">
        <v>430</v>
      </c>
      <c r="E37" t="s">
        <v>431</v>
      </c>
      <c r="F37" t="s">
        <v>337</v>
      </c>
      <c r="G37" t="s">
        <v>326</v>
      </c>
      <c r="H37" t="s">
        <v>432</v>
      </c>
      <c r="I37" t="s">
        <v>301</v>
      </c>
    </row>
    <row r="38" spans="1:9" x14ac:dyDescent="0.3">
      <c r="A38" t="s">
        <v>228</v>
      </c>
      <c r="B38" t="s">
        <v>42</v>
      </c>
      <c r="C38" t="s">
        <v>295</v>
      </c>
      <c r="D38" t="s">
        <v>433</v>
      </c>
      <c r="E38" t="s">
        <v>434</v>
      </c>
      <c r="F38" t="s">
        <v>383</v>
      </c>
      <c r="G38" t="s">
        <v>299</v>
      </c>
      <c r="H38" t="s">
        <v>435</v>
      </c>
      <c r="I38" t="s">
        <v>312</v>
      </c>
    </row>
    <row r="39" spans="1:9" x14ac:dyDescent="0.3">
      <c r="A39" t="s">
        <v>154</v>
      </c>
      <c r="B39" t="s">
        <v>24</v>
      </c>
      <c r="C39" t="s">
        <v>295</v>
      </c>
      <c r="D39" t="s">
        <v>436</v>
      </c>
      <c r="E39" t="s">
        <v>437</v>
      </c>
      <c r="F39" t="s">
        <v>398</v>
      </c>
      <c r="G39" t="s">
        <v>316</v>
      </c>
      <c r="H39" t="s">
        <v>438</v>
      </c>
      <c r="I39" t="s">
        <v>301</v>
      </c>
    </row>
    <row r="40" spans="1:9" x14ac:dyDescent="0.3">
      <c r="A40" t="s">
        <v>26</v>
      </c>
      <c r="B40" t="s">
        <v>258</v>
      </c>
      <c r="C40" t="s">
        <v>295</v>
      </c>
      <c r="D40" t="s">
        <v>439</v>
      </c>
      <c r="E40" t="s">
        <v>437</v>
      </c>
      <c r="F40" t="s">
        <v>337</v>
      </c>
      <c r="G40" t="s">
        <v>326</v>
      </c>
      <c r="H40" t="s">
        <v>440</v>
      </c>
      <c r="I40" t="s">
        <v>301</v>
      </c>
    </row>
    <row r="41" spans="1:9" x14ac:dyDescent="0.3">
      <c r="A41" t="s">
        <v>112</v>
      </c>
      <c r="B41" t="s">
        <v>258</v>
      </c>
      <c r="C41" t="s">
        <v>295</v>
      </c>
      <c r="D41" t="s">
        <v>441</v>
      </c>
      <c r="E41" t="s">
        <v>442</v>
      </c>
      <c r="F41" t="s">
        <v>443</v>
      </c>
      <c r="G41" t="s">
        <v>310</v>
      </c>
      <c r="H41" t="s">
        <v>444</v>
      </c>
      <c r="I41" t="s">
        <v>301</v>
      </c>
    </row>
    <row r="42" spans="1:9" x14ac:dyDescent="0.3">
      <c r="A42" t="s">
        <v>229</v>
      </c>
      <c r="B42" t="s">
        <v>257</v>
      </c>
      <c r="C42" t="s">
        <v>295</v>
      </c>
      <c r="D42" t="s">
        <v>445</v>
      </c>
      <c r="E42" t="s">
        <v>446</v>
      </c>
      <c r="F42" t="s">
        <v>447</v>
      </c>
      <c r="G42" t="s">
        <v>326</v>
      </c>
      <c r="H42" t="s">
        <v>448</v>
      </c>
      <c r="I42" t="s">
        <v>312</v>
      </c>
    </row>
    <row r="43" spans="1:9" x14ac:dyDescent="0.3">
      <c r="A43" t="s">
        <v>230</v>
      </c>
      <c r="B43" t="s">
        <v>256</v>
      </c>
      <c r="C43" t="s">
        <v>295</v>
      </c>
      <c r="D43" t="s">
        <v>449</v>
      </c>
      <c r="E43" t="s">
        <v>450</v>
      </c>
      <c r="F43" t="s">
        <v>394</v>
      </c>
      <c r="G43" t="s">
        <v>310</v>
      </c>
      <c r="H43" t="s">
        <v>451</v>
      </c>
      <c r="I43" t="s">
        <v>301</v>
      </c>
    </row>
    <row r="44" spans="1:9" x14ac:dyDescent="0.3">
      <c r="A44" t="s">
        <v>192</v>
      </c>
      <c r="B44" t="s">
        <v>252</v>
      </c>
      <c r="C44" t="s">
        <v>295</v>
      </c>
      <c r="D44" t="s">
        <v>452</v>
      </c>
      <c r="E44" t="s">
        <v>453</v>
      </c>
      <c r="F44" t="s">
        <v>454</v>
      </c>
      <c r="G44" t="s">
        <v>316</v>
      </c>
      <c r="H44" t="s">
        <v>455</v>
      </c>
      <c r="I44" t="s">
        <v>301</v>
      </c>
    </row>
    <row r="45" spans="1:9" x14ac:dyDescent="0.3">
      <c r="A45" t="s">
        <v>152</v>
      </c>
      <c r="B45" t="s">
        <v>252</v>
      </c>
      <c r="C45" t="s">
        <v>295</v>
      </c>
      <c r="D45" t="s">
        <v>456</v>
      </c>
      <c r="E45" t="s">
        <v>457</v>
      </c>
      <c r="F45" t="s">
        <v>398</v>
      </c>
      <c r="G45" t="s">
        <v>316</v>
      </c>
      <c r="H45" t="s">
        <v>458</v>
      </c>
      <c r="I45" t="s">
        <v>312</v>
      </c>
    </row>
    <row r="46" spans="1:9" x14ac:dyDescent="0.3">
      <c r="A46" t="s">
        <v>33</v>
      </c>
      <c r="B46" t="s">
        <v>71</v>
      </c>
      <c r="C46" t="s">
        <v>295</v>
      </c>
      <c r="D46" t="s">
        <v>459</v>
      </c>
      <c r="E46" t="s">
        <v>460</v>
      </c>
      <c r="F46" t="s">
        <v>315</v>
      </c>
      <c r="G46" t="s">
        <v>316</v>
      </c>
      <c r="H46" t="s">
        <v>461</v>
      </c>
      <c r="I46" t="s">
        <v>301</v>
      </c>
    </row>
    <row r="47" spans="1:9" x14ac:dyDescent="0.3">
      <c r="A47" t="s">
        <v>231</v>
      </c>
      <c r="B47" t="s">
        <v>252</v>
      </c>
      <c r="C47" t="s">
        <v>295</v>
      </c>
      <c r="D47" t="s">
        <v>462</v>
      </c>
      <c r="E47" t="s">
        <v>463</v>
      </c>
      <c r="F47" t="s">
        <v>464</v>
      </c>
      <c r="G47" t="s">
        <v>299</v>
      </c>
      <c r="H47" t="s">
        <v>465</v>
      </c>
      <c r="I47" t="s">
        <v>312</v>
      </c>
    </row>
    <row r="48" spans="1:9" x14ac:dyDescent="0.3">
      <c r="A48" t="s">
        <v>22</v>
      </c>
      <c r="B48" t="s">
        <v>16</v>
      </c>
      <c r="C48" t="s">
        <v>295</v>
      </c>
      <c r="D48" t="s">
        <v>466</v>
      </c>
      <c r="E48" t="s">
        <v>467</v>
      </c>
      <c r="F48" t="s">
        <v>394</v>
      </c>
      <c r="G48" t="s">
        <v>310</v>
      </c>
      <c r="H48" t="s">
        <v>468</v>
      </c>
      <c r="I48" t="s">
        <v>301</v>
      </c>
    </row>
    <row r="49" spans="1:9" x14ac:dyDescent="0.3">
      <c r="A49" t="s">
        <v>18</v>
      </c>
      <c r="B49" t="s">
        <v>260</v>
      </c>
      <c r="C49" t="s">
        <v>295</v>
      </c>
      <c r="D49" t="s">
        <v>469</v>
      </c>
      <c r="E49" t="s">
        <v>470</v>
      </c>
      <c r="F49" t="s">
        <v>447</v>
      </c>
      <c r="G49" t="s">
        <v>326</v>
      </c>
      <c r="H49" t="s">
        <v>471</v>
      </c>
      <c r="I49" t="s">
        <v>312</v>
      </c>
    </row>
    <row r="50" spans="1:9" x14ac:dyDescent="0.3">
      <c r="A50" t="s">
        <v>195</v>
      </c>
      <c r="B50" t="s">
        <v>81</v>
      </c>
      <c r="C50" t="s">
        <v>295</v>
      </c>
      <c r="D50" t="s">
        <v>472</v>
      </c>
      <c r="E50" t="s">
        <v>473</v>
      </c>
      <c r="F50" t="s">
        <v>315</v>
      </c>
      <c r="G50" t="s">
        <v>316</v>
      </c>
      <c r="H50" t="s">
        <v>474</v>
      </c>
      <c r="I50" t="s">
        <v>312</v>
      </c>
    </row>
    <row r="51" spans="1:9" x14ac:dyDescent="0.3">
      <c r="A51" t="s">
        <v>232</v>
      </c>
      <c r="B51" t="s">
        <v>64</v>
      </c>
      <c r="C51" t="s">
        <v>295</v>
      </c>
      <c r="D51" t="s">
        <v>475</v>
      </c>
      <c r="E51" t="s">
        <v>476</v>
      </c>
      <c r="F51" t="s">
        <v>454</v>
      </c>
      <c r="G51" t="s">
        <v>316</v>
      </c>
      <c r="H51" t="s">
        <v>477</v>
      </c>
      <c r="I51" t="s">
        <v>301</v>
      </c>
    </row>
    <row r="52" spans="1:9" x14ac:dyDescent="0.3">
      <c r="A52" t="s">
        <v>40</v>
      </c>
      <c r="B52" t="s">
        <v>115</v>
      </c>
      <c r="C52" t="s">
        <v>295</v>
      </c>
      <c r="D52" t="s">
        <v>478</v>
      </c>
      <c r="E52" t="s">
        <v>479</v>
      </c>
      <c r="F52" t="s">
        <v>480</v>
      </c>
      <c r="G52" t="s">
        <v>326</v>
      </c>
      <c r="H52" t="s">
        <v>481</v>
      </c>
      <c r="I52" t="s">
        <v>312</v>
      </c>
    </row>
    <row r="53" spans="1:9" x14ac:dyDescent="0.3">
      <c r="A53" t="s">
        <v>212</v>
      </c>
      <c r="B53" t="s">
        <v>255</v>
      </c>
      <c r="C53" t="s">
        <v>295</v>
      </c>
      <c r="D53" t="s">
        <v>482</v>
      </c>
      <c r="E53" t="s">
        <v>483</v>
      </c>
      <c r="F53" t="s">
        <v>379</v>
      </c>
      <c r="G53" t="s">
        <v>321</v>
      </c>
      <c r="H53" t="s">
        <v>484</v>
      </c>
      <c r="I53" t="s">
        <v>312</v>
      </c>
    </row>
    <row r="54" spans="1:9" x14ac:dyDescent="0.3">
      <c r="A54" t="s">
        <v>233</v>
      </c>
      <c r="B54" t="s">
        <v>255</v>
      </c>
      <c r="C54" t="s">
        <v>295</v>
      </c>
      <c r="D54" t="s">
        <v>485</v>
      </c>
      <c r="E54" t="s">
        <v>486</v>
      </c>
      <c r="F54" t="s">
        <v>337</v>
      </c>
      <c r="G54" t="s">
        <v>326</v>
      </c>
      <c r="H54" t="s">
        <v>487</v>
      </c>
      <c r="I54" t="s">
        <v>301</v>
      </c>
    </row>
    <row r="55" spans="1:9" x14ac:dyDescent="0.3">
      <c r="A55" t="s">
        <v>55</v>
      </c>
      <c r="B55" t="s">
        <v>250</v>
      </c>
      <c r="C55" t="s">
        <v>295</v>
      </c>
      <c r="D55" t="s">
        <v>488</v>
      </c>
      <c r="E55" t="s">
        <v>489</v>
      </c>
      <c r="F55" t="s">
        <v>490</v>
      </c>
      <c r="G55" t="s">
        <v>321</v>
      </c>
      <c r="H55" t="s">
        <v>491</v>
      </c>
      <c r="I55" t="s">
        <v>312</v>
      </c>
    </row>
    <row r="56" spans="1:9" x14ac:dyDescent="0.3">
      <c r="A56" t="s">
        <v>234</v>
      </c>
      <c r="B56" t="s">
        <v>64</v>
      </c>
      <c r="C56" t="s">
        <v>295</v>
      </c>
      <c r="D56" t="s">
        <v>492</v>
      </c>
      <c r="E56" t="s">
        <v>493</v>
      </c>
      <c r="F56" t="s">
        <v>494</v>
      </c>
      <c r="G56" t="s">
        <v>316</v>
      </c>
      <c r="H56" t="s">
        <v>495</v>
      </c>
      <c r="I56" t="s">
        <v>312</v>
      </c>
    </row>
    <row r="57" spans="1:9" x14ac:dyDescent="0.3">
      <c r="A57" t="s">
        <v>44</v>
      </c>
      <c r="B57" t="s">
        <v>35</v>
      </c>
      <c r="C57" t="s">
        <v>295</v>
      </c>
      <c r="D57" t="s">
        <v>496</v>
      </c>
      <c r="E57" t="s">
        <v>497</v>
      </c>
      <c r="F57" t="s">
        <v>409</v>
      </c>
      <c r="G57" t="s">
        <v>321</v>
      </c>
      <c r="H57" t="s">
        <v>498</v>
      </c>
      <c r="I57" t="s">
        <v>301</v>
      </c>
    </row>
    <row r="58" spans="1:9" x14ac:dyDescent="0.3">
      <c r="A58" t="s">
        <v>235</v>
      </c>
      <c r="B58" t="s">
        <v>255</v>
      </c>
      <c r="C58" t="s">
        <v>295</v>
      </c>
      <c r="D58" t="s">
        <v>499</v>
      </c>
      <c r="E58" t="s">
        <v>500</v>
      </c>
      <c r="F58" t="s">
        <v>341</v>
      </c>
      <c r="G58" t="s">
        <v>299</v>
      </c>
      <c r="H58" t="s">
        <v>501</v>
      </c>
      <c r="I58" t="s">
        <v>301</v>
      </c>
    </row>
    <row r="59" spans="1:9" x14ac:dyDescent="0.3">
      <c r="A59" t="s">
        <v>236</v>
      </c>
      <c r="B59" t="s">
        <v>252</v>
      </c>
      <c r="C59" t="s">
        <v>295</v>
      </c>
      <c r="D59" t="s">
        <v>502</v>
      </c>
      <c r="E59" t="s">
        <v>503</v>
      </c>
      <c r="F59" t="s">
        <v>379</v>
      </c>
      <c r="G59" t="s">
        <v>321</v>
      </c>
      <c r="H59" t="s">
        <v>504</v>
      </c>
      <c r="I59" t="s">
        <v>312</v>
      </c>
    </row>
    <row r="60" spans="1:9" x14ac:dyDescent="0.3">
      <c r="A60" t="s">
        <v>237</v>
      </c>
      <c r="B60" t="s">
        <v>261</v>
      </c>
      <c r="C60" t="s">
        <v>295</v>
      </c>
      <c r="D60" t="s">
        <v>505</v>
      </c>
      <c r="E60" t="s">
        <v>506</v>
      </c>
      <c r="F60" t="s">
        <v>507</v>
      </c>
      <c r="G60" t="s">
        <v>310</v>
      </c>
      <c r="H60" t="s">
        <v>508</v>
      </c>
      <c r="I60" t="s">
        <v>312</v>
      </c>
    </row>
    <row r="61" spans="1:9" x14ac:dyDescent="0.3">
      <c r="A61" t="s">
        <v>238</v>
      </c>
      <c r="B61" t="s">
        <v>16</v>
      </c>
      <c r="C61" t="s">
        <v>295</v>
      </c>
      <c r="D61" t="s">
        <v>509</v>
      </c>
      <c r="E61" t="s">
        <v>510</v>
      </c>
      <c r="F61" t="s">
        <v>490</v>
      </c>
      <c r="G61" t="s">
        <v>321</v>
      </c>
      <c r="H61" t="s">
        <v>511</v>
      </c>
      <c r="I61" t="s">
        <v>312</v>
      </c>
    </row>
    <row r="62" spans="1:9" x14ac:dyDescent="0.3">
      <c r="A62" t="s">
        <v>239</v>
      </c>
      <c r="B62" t="s">
        <v>138</v>
      </c>
      <c r="C62" t="s">
        <v>295</v>
      </c>
      <c r="D62" t="s">
        <v>512</v>
      </c>
      <c r="E62" t="s">
        <v>513</v>
      </c>
      <c r="F62" t="s">
        <v>464</v>
      </c>
      <c r="G62" t="s">
        <v>299</v>
      </c>
      <c r="H62" t="s">
        <v>514</v>
      </c>
      <c r="I62" t="s">
        <v>301</v>
      </c>
    </row>
    <row r="63" spans="1:9" x14ac:dyDescent="0.3">
      <c r="A63" t="s">
        <v>168</v>
      </c>
      <c r="B63" t="s">
        <v>90</v>
      </c>
      <c r="C63" t="s">
        <v>295</v>
      </c>
      <c r="D63" t="s">
        <v>515</v>
      </c>
      <c r="E63" t="s">
        <v>516</v>
      </c>
      <c r="F63" t="s">
        <v>490</v>
      </c>
      <c r="G63" t="s">
        <v>321</v>
      </c>
      <c r="H63" t="s">
        <v>517</v>
      </c>
      <c r="I63" t="s">
        <v>301</v>
      </c>
    </row>
    <row r="64" spans="1:9" x14ac:dyDescent="0.3">
      <c r="A64" t="s">
        <v>240</v>
      </c>
      <c r="B64" t="s">
        <v>262</v>
      </c>
      <c r="C64" t="s">
        <v>295</v>
      </c>
      <c r="D64" t="s">
        <v>518</v>
      </c>
      <c r="E64" t="s">
        <v>453</v>
      </c>
      <c r="F64" t="s">
        <v>379</v>
      </c>
      <c r="G64" t="s">
        <v>321</v>
      </c>
      <c r="H64" t="s">
        <v>519</v>
      </c>
      <c r="I64" t="s">
        <v>301</v>
      </c>
    </row>
    <row r="65" spans="1:9" x14ac:dyDescent="0.3">
      <c r="A65" t="s">
        <v>121</v>
      </c>
      <c r="B65" t="s">
        <v>253</v>
      </c>
      <c r="C65" t="s">
        <v>295</v>
      </c>
      <c r="D65" t="s">
        <v>520</v>
      </c>
      <c r="E65" t="s">
        <v>521</v>
      </c>
      <c r="F65" t="s">
        <v>402</v>
      </c>
      <c r="G65" t="s">
        <v>305</v>
      </c>
      <c r="H65" t="s">
        <v>522</v>
      </c>
      <c r="I65" t="s">
        <v>301</v>
      </c>
    </row>
    <row r="66" spans="1:9" x14ac:dyDescent="0.3">
      <c r="A66" t="s">
        <v>83</v>
      </c>
      <c r="B66" t="s">
        <v>261</v>
      </c>
      <c r="C66" t="s">
        <v>295</v>
      </c>
      <c r="D66" t="s">
        <v>523</v>
      </c>
      <c r="E66" t="s">
        <v>524</v>
      </c>
      <c r="F66" t="s">
        <v>416</v>
      </c>
      <c r="G66" t="s">
        <v>305</v>
      </c>
      <c r="H66" t="s">
        <v>525</v>
      </c>
      <c r="I66" t="s">
        <v>312</v>
      </c>
    </row>
    <row r="67" spans="1:9" x14ac:dyDescent="0.3">
      <c r="A67" t="s">
        <v>170</v>
      </c>
      <c r="B67" t="s">
        <v>263</v>
      </c>
      <c r="C67" t="s">
        <v>295</v>
      </c>
      <c r="D67" t="s">
        <v>526</v>
      </c>
      <c r="E67" t="s">
        <v>527</v>
      </c>
      <c r="F67" t="s">
        <v>309</v>
      </c>
      <c r="G67" t="s">
        <v>310</v>
      </c>
      <c r="H67" t="s">
        <v>528</v>
      </c>
      <c r="I67" t="s">
        <v>312</v>
      </c>
    </row>
    <row r="68" spans="1:9" x14ac:dyDescent="0.3">
      <c r="A68" t="s">
        <v>160</v>
      </c>
      <c r="B68" t="s">
        <v>176</v>
      </c>
      <c r="C68" t="s">
        <v>295</v>
      </c>
      <c r="D68" t="s">
        <v>529</v>
      </c>
      <c r="E68" t="s">
        <v>530</v>
      </c>
      <c r="F68" t="s">
        <v>390</v>
      </c>
      <c r="G68" t="s">
        <v>310</v>
      </c>
      <c r="H68" t="s">
        <v>531</v>
      </c>
      <c r="I68" t="s">
        <v>312</v>
      </c>
    </row>
    <row r="69" spans="1:9" x14ac:dyDescent="0.3">
      <c r="A69" t="s">
        <v>166</v>
      </c>
      <c r="B69" t="s">
        <v>75</v>
      </c>
      <c r="C69" t="s">
        <v>295</v>
      </c>
      <c r="D69" t="s">
        <v>532</v>
      </c>
      <c r="E69" t="s">
        <v>533</v>
      </c>
      <c r="F69" t="s">
        <v>341</v>
      </c>
      <c r="G69" t="s">
        <v>299</v>
      </c>
      <c r="H69" t="s">
        <v>534</v>
      </c>
      <c r="I69" t="s">
        <v>301</v>
      </c>
    </row>
    <row r="70" spans="1:9" x14ac:dyDescent="0.3">
      <c r="A70" t="s">
        <v>134</v>
      </c>
      <c r="B70" t="s">
        <v>261</v>
      </c>
      <c r="C70" t="s">
        <v>295</v>
      </c>
      <c r="D70" t="s">
        <v>535</v>
      </c>
      <c r="E70" t="s">
        <v>536</v>
      </c>
      <c r="F70" t="s">
        <v>480</v>
      </c>
      <c r="G70" t="s">
        <v>326</v>
      </c>
      <c r="H70" t="s">
        <v>537</v>
      </c>
      <c r="I70" t="s">
        <v>301</v>
      </c>
    </row>
    <row r="71" spans="1:9" x14ac:dyDescent="0.3">
      <c r="A71" t="s">
        <v>241</v>
      </c>
      <c r="B71" t="s">
        <v>71</v>
      </c>
      <c r="C71" t="s">
        <v>295</v>
      </c>
      <c r="D71" t="s">
        <v>538</v>
      </c>
      <c r="E71" t="s">
        <v>539</v>
      </c>
      <c r="F71" t="s">
        <v>398</v>
      </c>
      <c r="G71" t="s">
        <v>316</v>
      </c>
      <c r="H71" t="s">
        <v>540</v>
      </c>
      <c r="I71" t="s">
        <v>312</v>
      </c>
    </row>
    <row r="72" spans="1:9" x14ac:dyDescent="0.3">
      <c r="A72" t="s">
        <v>58</v>
      </c>
      <c r="B72" t="s">
        <v>24</v>
      </c>
      <c r="C72" t="s">
        <v>295</v>
      </c>
      <c r="D72" t="s">
        <v>541</v>
      </c>
      <c r="E72" t="s">
        <v>542</v>
      </c>
      <c r="F72" t="s">
        <v>309</v>
      </c>
      <c r="G72" t="s">
        <v>310</v>
      </c>
      <c r="H72" t="s">
        <v>543</v>
      </c>
      <c r="I72" t="s">
        <v>312</v>
      </c>
    </row>
    <row r="73" spans="1:9" x14ac:dyDescent="0.3">
      <c r="A73" t="s">
        <v>106</v>
      </c>
      <c r="B73" t="s">
        <v>64</v>
      </c>
      <c r="C73" t="s">
        <v>295</v>
      </c>
      <c r="D73" t="s">
        <v>544</v>
      </c>
      <c r="E73" t="s">
        <v>545</v>
      </c>
      <c r="F73" t="s">
        <v>341</v>
      </c>
      <c r="G73" t="s">
        <v>299</v>
      </c>
      <c r="H73" t="s">
        <v>546</v>
      </c>
      <c r="I73" t="s">
        <v>301</v>
      </c>
    </row>
    <row r="74" spans="1:9" x14ac:dyDescent="0.3">
      <c r="A74" t="s">
        <v>85</v>
      </c>
      <c r="B74" t="s">
        <v>71</v>
      </c>
      <c r="C74" t="s">
        <v>295</v>
      </c>
      <c r="D74" t="s">
        <v>547</v>
      </c>
      <c r="E74" t="s">
        <v>548</v>
      </c>
      <c r="F74" t="s">
        <v>549</v>
      </c>
      <c r="G74" t="s">
        <v>310</v>
      </c>
      <c r="H74" t="s">
        <v>550</v>
      </c>
      <c r="I74" t="s">
        <v>312</v>
      </c>
    </row>
    <row r="75" spans="1:9" x14ac:dyDescent="0.3">
      <c r="A75" t="s">
        <v>187</v>
      </c>
      <c r="B75" t="s">
        <v>262</v>
      </c>
      <c r="C75" t="s">
        <v>295</v>
      </c>
      <c r="D75" t="s">
        <v>551</v>
      </c>
      <c r="E75" t="s">
        <v>552</v>
      </c>
      <c r="F75" t="s">
        <v>341</v>
      </c>
      <c r="G75" t="s">
        <v>299</v>
      </c>
      <c r="H75" t="s">
        <v>553</v>
      </c>
      <c r="I75" t="s">
        <v>312</v>
      </c>
    </row>
    <row r="76" spans="1:9" x14ac:dyDescent="0.3">
      <c r="A76" t="s">
        <v>242</v>
      </c>
      <c r="B76" t="s">
        <v>263</v>
      </c>
      <c r="C76" t="s">
        <v>295</v>
      </c>
      <c r="D76" t="s">
        <v>554</v>
      </c>
      <c r="E76" t="s">
        <v>555</v>
      </c>
      <c r="F76" t="s">
        <v>464</v>
      </c>
      <c r="G76" t="s">
        <v>299</v>
      </c>
      <c r="H76" t="s">
        <v>556</v>
      </c>
      <c r="I76" t="s">
        <v>312</v>
      </c>
    </row>
    <row r="77" spans="1:9" x14ac:dyDescent="0.3">
      <c r="A77" t="s">
        <v>243</v>
      </c>
      <c r="B77" t="s">
        <v>42</v>
      </c>
      <c r="C77" t="s">
        <v>295</v>
      </c>
      <c r="D77" t="s">
        <v>557</v>
      </c>
      <c r="E77" t="s">
        <v>506</v>
      </c>
      <c r="F77" t="s">
        <v>507</v>
      </c>
      <c r="G77" t="s">
        <v>310</v>
      </c>
      <c r="H77" t="s">
        <v>558</v>
      </c>
      <c r="I77" t="s">
        <v>301</v>
      </c>
    </row>
    <row r="78" spans="1:9" x14ac:dyDescent="0.3">
      <c r="A78" t="s">
        <v>50</v>
      </c>
      <c r="B78" t="s">
        <v>20</v>
      </c>
      <c r="C78" t="s">
        <v>295</v>
      </c>
      <c r="D78" t="s">
        <v>559</v>
      </c>
      <c r="E78" t="s">
        <v>560</v>
      </c>
      <c r="F78" t="s">
        <v>507</v>
      </c>
      <c r="G78" t="s">
        <v>310</v>
      </c>
      <c r="H78" t="s">
        <v>561</v>
      </c>
      <c r="I78" t="s">
        <v>312</v>
      </c>
    </row>
    <row r="79" spans="1:9" x14ac:dyDescent="0.3">
      <c r="A79" t="s">
        <v>146</v>
      </c>
      <c r="B79" t="s">
        <v>256</v>
      </c>
      <c r="C79" t="s">
        <v>295</v>
      </c>
      <c r="D79" t="s">
        <v>562</v>
      </c>
      <c r="E79" t="s">
        <v>563</v>
      </c>
      <c r="F79" t="s">
        <v>409</v>
      </c>
      <c r="G79" t="s">
        <v>321</v>
      </c>
      <c r="H79" t="s">
        <v>564</v>
      </c>
      <c r="I79" t="s">
        <v>312</v>
      </c>
    </row>
    <row r="80" spans="1:9" x14ac:dyDescent="0.3">
      <c r="A80" t="s">
        <v>101</v>
      </c>
      <c r="B80" t="s">
        <v>259</v>
      </c>
      <c r="C80" t="s">
        <v>295</v>
      </c>
      <c r="D80" t="s">
        <v>565</v>
      </c>
      <c r="E80" t="s">
        <v>566</v>
      </c>
      <c r="F80" t="s">
        <v>416</v>
      </c>
      <c r="G80" t="s">
        <v>305</v>
      </c>
      <c r="H80" t="s">
        <v>567</v>
      </c>
      <c r="I80" t="s">
        <v>312</v>
      </c>
    </row>
    <row r="81" spans="1:9" x14ac:dyDescent="0.3">
      <c r="A81" t="s">
        <v>88</v>
      </c>
      <c r="B81" t="s">
        <v>24</v>
      </c>
      <c r="C81" t="s">
        <v>295</v>
      </c>
      <c r="D81" t="s">
        <v>568</v>
      </c>
      <c r="E81" t="s">
        <v>412</v>
      </c>
      <c r="F81" t="s">
        <v>549</v>
      </c>
      <c r="G81" t="s">
        <v>310</v>
      </c>
      <c r="H81" t="s">
        <v>569</v>
      </c>
      <c r="I81" t="s">
        <v>301</v>
      </c>
    </row>
    <row r="82" spans="1:9" x14ac:dyDescent="0.3">
      <c r="A82" t="s">
        <v>244</v>
      </c>
      <c r="B82" t="s">
        <v>259</v>
      </c>
      <c r="C82" t="s">
        <v>295</v>
      </c>
      <c r="D82" t="s">
        <v>570</v>
      </c>
      <c r="E82" t="s">
        <v>571</v>
      </c>
      <c r="F82" t="s">
        <v>325</v>
      </c>
      <c r="G82" t="s">
        <v>326</v>
      </c>
      <c r="H82" t="s">
        <v>572</v>
      </c>
      <c r="I82" t="s">
        <v>301</v>
      </c>
    </row>
    <row r="83" spans="1:9" x14ac:dyDescent="0.3">
      <c r="A83" t="s">
        <v>92</v>
      </c>
      <c r="B83" t="s">
        <v>257</v>
      </c>
      <c r="C83" t="s">
        <v>295</v>
      </c>
      <c r="D83" t="s">
        <v>573</v>
      </c>
      <c r="E83" t="s">
        <v>574</v>
      </c>
      <c r="F83" t="s">
        <v>309</v>
      </c>
      <c r="G83" t="s">
        <v>310</v>
      </c>
      <c r="H83" t="s">
        <v>575</v>
      </c>
      <c r="I83" t="s">
        <v>312</v>
      </c>
    </row>
    <row r="84" spans="1:9" x14ac:dyDescent="0.3">
      <c r="A84" t="s">
        <v>150</v>
      </c>
      <c r="B84" t="s">
        <v>263</v>
      </c>
      <c r="C84" t="s">
        <v>295</v>
      </c>
      <c r="D84" t="s">
        <v>576</v>
      </c>
      <c r="E84" t="s">
        <v>577</v>
      </c>
      <c r="F84" t="s">
        <v>383</v>
      </c>
      <c r="G84" t="s">
        <v>299</v>
      </c>
      <c r="H84" t="s">
        <v>578</v>
      </c>
      <c r="I84" t="s">
        <v>312</v>
      </c>
    </row>
    <row r="85" spans="1:9" x14ac:dyDescent="0.3">
      <c r="A85" t="s">
        <v>210</v>
      </c>
      <c r="B85" t="s">
        <v>264</v>
      </c>
      <c r="C85" t="s">
        <v>295</v>
      </c>
      <c r="D85" t="s">
        <v>579</v>
      </c>
      <c r="E85" t="s">
        <v>580</v>
      </c>
      <c r="F85" t="s">
        <v>490</v>
      </c>
      <c r="G85" t="s">
        <v>321</v>
      </c>
      <c r="H85" t="s">
        <v>581</v>
      </c>
      <c r="I85" t="s">
        <v>301</v>
      </c>
    </row>
    <row r="86" spans="1:9" x14ac:dyDescent="0.3">
      <c r="A86" t="s">
        <v>73</v>
      </c>
      <c r="B86" t="s">
        <v>71</v>
      </c>
      <c r="C86" t="s">
        <v>295</v>
      </c>
      <c r="D86" t="s">
        <v>582</v>
      </c>
      <c r="E86" t="s">
        <v>583</v>
      </c>
      <c r="F86" t="s">
        <v>398</v>
      </c>
      <c r="G86" t="s">
        <v>316</v>
      </c>
      <c r="H86" t="s">
        <v>584</v>
      </c>
      <c r="I86" t="s">
        <v>312</v>
      </c>
    </row>
    <row r="87" spans="1:9" x14ac:dyDescent="0.3">
      <c r="A87" t="s">
        <v>157</v>
      </c>
      <c r="B87" t="s">
        <v>258</v>
      </c>
      <c r="C87" t="s">
        <v>295</v>
      </c>
      <c r="D87" t="s">
        <v>585</v>
      </c>
      <c r="E87" t="s">
        <v>586</v>
      </c>
      <c r="F87" t="s">
        <v>454</v>
      </c>
      <c r="G87" t="s">
        <v>316</v>
      </c>
      <c r="H87" t="s">
        <v>587</v>
      </c>
      <c r="I87" t="s">
        <v>312</v>
      </c>
    </row>
    <row r="88" spans="1:9" x14ac:dyDescent="0.3">
      <c r="A88" t="s">
        <v>144</v>
      </c>
      <c r="B88" t="s">
        <v>255</v>
      </c>
      <c r="C88" t="s">
        <v>295</v>
      </c>
      <c r="D88" t="s">
        <v>588</v>
      </c>
      <c r="E88" t="s">
        <v>589</v>
      </c>
      <c r="F88" t="s">
        <v>320</v>
      </c>
      <c r="G88" t="s">
        <v>321</v>
      </c>
      <c r="H88" t="s">
        <v>590</v>
      </c>
      <c r="I88" t="s">
        <v>312</v>
      </c>
    </row>
    <row r="89" spans="1:9" x14ac:dyDescent="0.3">
      <c r="A89" t="s">
        <v>114</v>
      </c>
      <c r="B89" t="s">
        <v>28</v>
      </c>
      <c r="C89" t="s">
        <v>295</v>
      </c>
      <c r="D89" t="s">
        <v>591</v>
      </c>
      <c r="E89" t="s">
        <v>592</v>
      </c>
      <c r="F89" t="s">
        <v>549</v>
      </c>
      <c r="G89" t="s">
        <v>310</v>
      </c>
      <c r="H89" t="s">
        <v>593</v>
      </c>
      <c r="I89" t="s">
        <v>312</v>
      </c>
    </row>
    <row r="90" spans="1:9" x14ac:dyDescent="0.3">
      <c r="A90" t="s">
        <v>142</v>
      </c>
      <c r="B90" t="s">
        <v>81</v>
      </c>
      <c r="C90" t="s">
        <v>295</v>
      </c>
      <c r="D90" t="s">
        <v>594</v>
      </c>
      <c r="E90" t="s">
        <v>412</v>
      </c>
      <c r="F90" t="s">
        <v>398</v>
      </c>
      <c r="G90" t="s">
        <v>316</v>
      </c>
      <c r="H90" t="s">
        <v>595</v>
      </c>
      <c r="I90" t="s">
        <v>301</v>
      </c>
    </row>
    <row r="91" spans="1:9" x14ac:dyDescent="0.3">
      <c r="A91" t="s">
        <v>97</v>
      </c>
      <c r="B91" t="s">
        <v>24</v>
      </c>
      <c r="C91" t="s">
        <v>295</v>
      </c>
      <c r="D91" t="s">
        <v>596</v>
      </c>
      <c r="E91" t="s">
        <v>597</v>
      </c>
      <c r="F91" t="s">
        <v>298</v>
      </c>
      <c r="G91" t="s">
        <v>299</v>
      </c>
      <c r="H91" t="s">
        <v>598</v>
      </c>
      <c r="I91" t="s">
        <v>312</v>
      </c>
    </row>
    <row r="92" spans="1:9" x14ac:dyDescent="0.3">
      <c r="A92" t="s">
        <v>245</v>
      </c>
      <c r="B92" t="s">
        <v>263</v>
      </c>
      <c r="C92" t="s">
        <v>295</v>
      </c>
      <c r="D92" t="s">
        <v>599</v>
      </c>
      <c r="E92" t="s">
        <v>600</v>
      </c>
      <c r="F92" t="s">
        <v>309</v>
      </c>
      <c r="G92" t="s">
        <v>310</v>
      </c>
      <c r="H92" t="s">
        <v>601</v>
      </c>
      <c r="I92" t="s">
        <v>312</v>
      </c>
    </row>
    <row r="93" spans="1:9" x14ac:dyDescent="0.3">
      <c r="A93" t="s">
        <v>14</v>
      </c>
      <c r="B93" t="s">
        <v>42</v>
      </c>
      <c r="C93" t="s">
        <v>295</v>
      </c>
      <c r="D93" t="s">
        <v>602</v>
      </c>
      <c r="E93" t="s">
        <v>603</v>
      </c>
      <c r="F93" t="s">
        <v>490</v>
      </c>
      <c r="G93" t="s">
        <v>321</v>
      </c>
      <c r="H93" t="s">
        <v>604</v>
      </c>
      <c r="I93" t="s">
        <v>312</v>
      </c>
    </row>
    <row r="94" spans="1:9" x14ac:dyDescent="0.3">
      <c r="A94" t="s">
        <v>117</v>
      </c>
      <c r="B94" t="s">
        <v>254</v>
      </c>
      <c r="C94" t="s">
        <v>295</v>
      </c>
      <c r="D94" t="s">
        <v>605</v>
      </c>
      <c r="E94" t="s">
        <v>606</v>
      </c>
      <c r="F94" t="s">
        <v>454</v>
      </c>
      <c r="G94" t="s">
        <v>316</v>
      </c>
      <c r="H94" t="s">
        <v>607</v>
      </c>
      <c r="I94" t="s">
        <v>312</v>
      </c>
    </row>
    <row r="95" spans="1:9" x14ac:dyDescent="0.3">
      <c r="A95" t="s">
        <v>246</v>
      </c>
      <c r="B95" t="s">
        <v>251</v>
      </c>
      <c r="C95" t="s">
        <v>295</v>
      </c>
      <c r="D95" t="s">
        <v>608</v>
      </c>
      <c r="E95" t="s">
        <v>609</v>
      </c>
      <c r="F95" t="s">
        <v>480</v>
      </c>
      <c r="G95" t="s">
        <v>326</v>
      </c>
      <c r="H95" t="s">
        <v>610</v>
      </c>
      <c r="I95" t="s">
        <v>312</v>
      </c>
    </row>
    <row r="96" spans="1:9" x14ac:dyDescent="0.3">
      <c r="A96" t="s">
        <v>190</v>
      </c>
      <c r="B96" t="s">
        <v>107</v>
      </c>
      <c r="C96" t="s">
        <v>295</v>
      </c>
      <c r="D96" t="s">
        <v>611</v>
      </c>
      <c r="E96" t="s">
        <v>612</v>
      </c>
      <c r="F96" t="s">
        <v>345</v>
      </c>
      <c r="G96" t="s">
        <v>305</v>
      </c>
      <c r="H96" t="s">
        <v>613</v>
      </c>
      <c r="I96" t="s">
        <v>312</v>
      </c>
    </row>
    <row r="97" spans="1:9" x14ac:dyDescent="0.3">
      <c r="A97" t="s">
        <v>126</v>
      </c>
      <c r="B97" t="s">
        <v>42</v>
      </c>
      <c r="C97" t="s">
        <v>295</v>
      </c>
      <c r="D97" t="s">
        <v>614</v>
      </c>
      <c r="E97" t="s">
        <v>615</v>
      </c>
      <c r="F97" t="s">
        <v>447</v>
      </c>
      <c r="G97" t="s">
        <v>326</v>
      </c>
      <c r="H97" t="s">
        <v>616</v>
      </c>
      <c r="I97" t="s">
        <v>312</v>
      </c>
    </row>
    <row r="98" spans="1:9" x14ac:dyDescent="0.3">
      <c r="A98" t="s">
        <v>247</v>
      </c>
      <c r="B98" t="s">
        <v>138</v>
      </c>
      <c r="C98" t="s">
        <v>295</v>
      </c>
      <c r="D98" t="s">
        <v>617</v>
      </c>
      <c r="E98" t="s">
        <v>618</v>
      </c>
      <c r="F98" t="s">
        <v>366</v>
      </c>
      <c r="G98" t="s">
        <v>321</v>
      </c>
      <c r="H98" t="s">
        <v>619</v>
      </c>
      <c r="I98" t="s">
        <v>301</v>
      </c>
    </row>
    <row r="99" spans="1:9" x14ac:dyDescent="0.3">
      <c r="A99" t="s">
        <v>248</v>
      </c>
      <c r="B99" t="s">
        <v>264</v>
      </c>
      <c r="C99" t="s">
        <v>295</v>
      </c>
      <c r="D99" t="s">
        <v>620</v>
      </c>
      <c r="E99" t="s">
        <v>621</v>
      </c>
      <c r="F99" t="s">
        <v>454</v>
      </c>
      <c r="G99" t="s">
        <v>316</v>
      </c>
      <c r="H99" t="s">
        <v>622</v>
      </c>
      <c r="I99" t="s">
        <v>301</v>
      </c>
    </row>
    <row r="100" spans="1:9" x14ac:dyDescent="0.3">
      <c r="A100" t="s">
        <v>123</v>
      </c>
      <c r="B100" t="s">
        <v>110</v>
      </c>
      <c r="C100" t="s">
        <v>295</v>
      </c>
      <c r="D100" t="s">
        <v>623</v>
      </c>
      <c r="E100" t="s">
        <v>624</v>
      </c>
      <c r="F100" t="s">
        <v>402</v>
      </c>
      <c r="G100" t="s">
        <v>305</v>
      </c>
      <c r="H100" t="s">
        <v>625</v>
      </c>
      <c r="I100" t="s">
        <v>301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D75D8-F302-4F86-A76F-58A31B2C1C7C}">
  <dimension ref="A1:G100"/>
  <sheetViews>
    <sheetView workbookViewId="0">
      <selection activeCell="I19" sqref="I19"/>
    </sheetView>
  </sheetViews>
  <sheetFormatPr defaultRowHeight="14.4" x14ac:dyDescent="0.3"/>
  <cols>
    <col min="1" max="1" width="9.5546875" bestFit="1" customWidth="1"/>
    <col min="2" max="2" width="10.88671875" bestFit="1" customWidth="1"/>
    <col min="3" max="3" width="10" bestFit="1" customWidth="1"/>
    <col min="4" max="4" width="4.109375" bestFit="1" customWidth="1"/>
    <col min="6" max="6" width="12.44140625" bestFit="1" customWidth="1"/>
    <col min="7" max="7" width="8" bestFit="1" customWidth="1"/>
  </cols>
  <sheetData>
    <row r="1" spans="1:7" x14ac:dyDescent="0.3">
      <c r="A1" t="s">
        <v>3</v>
      </c>
      <c r="B1" t="s">
        <v>8</v>
      </c>
      <c r="C1" t="s">
        <v>9</v>
      </c>
      <c r="D1" t="s">
        <v>10</v>
      </c>
      <c r="E1" t="s">
        <v>11</v>
      </c>
      <c r="F1" t="s">
        <v>626</v>
      </c>
      <c r="G1" t="s">
        <v>627</v>
      </c>
    </row>
    <row r="2" spans="1:7" x14ac:dyDescent="0.3">
      <c r="A2" t="s">
        <v>15</v>
      </c>
      <c r="B2" t="s">
        <v>628</v>
      </c>
      <c r="C2" t="s">
        <v>629</v>
      </c>
      <c r="D2">
        <v>1</v>
      </c>
      <c r="E2">
        <v>29.852</v>
      </c>
      <c r="F2">
        <v>2.9851999999999999</v>
      </c>
      <c r="G2">
        <v>2.7881999999999998</v>
      </c>
    </row>
    <row r="3" spans="1:7" x14ac:dyDescent="0.3">
      <c r="A3" t="s">
        <v>19</v>
      </c>
      <c r="B3" t="s">
        <v>630</v>
      </c>
      <c r="C3" t="s">
        <v>631</v>
      </c>
      <c r="D3">
        <v>0.2</v>
      </c>
      <c r="E3">
        <v>5.7619999999999996</v>
      </c>
      <c r="F3">
        <v>2.8809999999999998</v>
      </c>
      <c r="G3">
        <v>0.65110000000000001</v>
      </c>
    </row>
    <row r="4" spans="1:7" x14ac:dyDescent="0.3">
      <c r="A4" t="s">
        <v>23</v>
      </c>
      <c r="B4" t="s">
        <v>632</v>
      </c>
      <c r="C4" t="s">
        <v>633</v>
      </c>
      <c r="D4">
        <v>0.5</v>
      </c>
      <c r="E4">
        <v>11.098000000000001</v>
      </c>
      <c r="F4">
        <v>2.2195999999999998</v>
      </c>
      <c r="G4">
        <v>1.655</v>
      </c>
    </row>
    <row r="5" spans="1:7" x14ac:dyDescent="0.3">
      <c r="A5" t="s">
        <v>27</v>
      </c>
      <c r="B5" t="s">
        <v>634</v>
      </c>
      <c r="C5" t="s">
        <v>633</v>
      </c>
      <c r="D5">
        <v>1</v>
      </c>
      <c r="E5">
        <v>23.021000000000001</v>
      </c>
      <c r="F5">
        <v>2.3020999999999998</v>
      </c>
      <c r="G5">
        <v>3.1190000000000002</v>
      </c>
    </row>
    <row r="6" spans="1:7" x14ac:dyDescent="0.3">
      <c r="A6" t="s">
        <v>27</v>
      </c>
      <c r="B6" t="s">
        <v>632</v>
      </c>
      <c r="C6" t="s">
        <v>629</v>
      </c>
      <c r="D6">
        <v>2.5</v>
      </c>
      <c r="E6">
        <v>67.557000000000002</v>
      </c>
      <c r="F6">
        <v>2.7023000000000001</v>
      </c>
      <c r="G6">
        <v>5.7256</v>
      </c>
    </row>
    <row r="7" spans="1:7" x14ac:dyDescent="0.3">
      <c r="A7" t="s">
        <v>23</v>
      </c>
      <c r="B7" t="s">
        <v>630</v>
      </c>
      <c r="C7" t="s">
        <v>631</v>
      </c>
      <c r="D7">
        <v>0.2</v>
      </c>
      <c r="E7">
        <v>5.7910000000000004</v>
      </c>
      <c r="F7">
        <v>2.8955000000000002</v>
      </c>
      <c r="G7">
        <v>0.70740000000000003</v>
      </c>
    </row>
    <row r="8" spans="1:7" x14ac:dyDescent="0.3">
      <c r="A8" t="s">
        <v>34</v>
      </c>
      <c r="B8" t="s">
        <v>634</v>
      </c>
      <c r="C8" t="s">
        <v>633</v>
      </c>
      <c r="D8">
        <v>0.5</v>
      </c>
      <c r="E8">
        <v>19.291</v>
      </c>
      <c r="F8">
        <v>3.8582000000000001</v>
      </c>
      <c r="G8">
        <v>1.9646999999999999</v>
      </c>
    </row>
    <row r="9" spans="1:7" x14ac:dyDescent="0.3">
      <c r="A9" t="s">
        <v>38</v>
      </c>
      <c r="B9" t="s">
        <v>634</v>
      </c>
      <c r="C9" t="s">
        <v>633</v>
      </c>
      <c r="D9">
        <v>2.5</v>
      </c>
      <c r="E9">
        <v>77.019000000000005</v>
      </c>
      <c r="F9">
        <v>3.0808</v>
      </c>
      <c r="G9">
        <v>6.3207000000000004</v>
      </c>
    </row>
    <row r="10" spans="1:7" x14ac:dyDescent="0.3">
      <c r="A10" t="s">
        <v>41</v>
      </c>
      <c r="B10" t="s">
        <v>630</v>
      </c>
      <c r="C10" t="s">
        <v>631</v>
      </c>
      <c r="D10">
        <v>2.5</v>
      </c>
      <c r="E10">
        <v>93.278999999999996</v>
      </c>
      <c r="F10">
        <v>3.7311999999999999</v>
      </c>
      <c r="G10">
        <v>8.3963000000000001</v>
      </c>
    </row>
    <row r="11" spans="1:7" x14ac:dyDescent="0.3">
      <c r="A11" t="s">
        <v>45</v>
      </c>
      <c r="B11" t="s">
        <v>630</v>
      </c>
      <c r="C11" t="s">
        <v>629</v>
      </c>
      <c r="D11">
        <v>1</v>
      </c>
      <c r="E11">
        <v>30.213999999999999</v>
      </c>
      <c r="F11">
        <v>3.0213999999999999</v>
      </c>
      <c r="G11">
        <v>3.4754</v>
      </c>
    </row>
    <row r="12" spans="1:7" x14ac:dyDescent="0.3">
      <c r="A12" t="s">
        <v>41</v>
      </c>
      <c r="B12" t="s">
        <v>634</v>
      </c>
      <c r="C12" t="s">
        <v>631</v>
      </c>
      <c r="D12">
        <v>2.5</v>
      </c>
      <c r="E12">
        <v>96.073999999999998</v>
      </c>
      <c r="F12">
        <v>3.843</v>
      </c>
      <c r="G12">
        <v>13.8026</v>
      </c>
    </row>
    <row r="13" spans="1:7" x14ac:dyDescent="0.3">
      <c r="A13" t="s">
        <v>51</v>
      </c>
      <c r="B13" t="s">
        <v>628</v>
      </c>
      <c r="C13" t="s">
        <v>629</v>
      </c>
      <c r="D13">
        <v>1</v>
      </c>
      <c r="E13">
        <v>38.543999999999997</v>
      </c>
      <c r="F13">
        <v>3.8544</v>
      </c>
      <c r="G13">
        <v>4.4387999999999996</v>
      </c>
    </row>
    <row r="14" spans="1:7" x14ac:dyDescent="0.3">
      <c r="A14" t="s">
        <v>45</v>
      </c>
      <c r="B14" t="s">
        <v>634</v>
      </c>
      <c r="C14" t="s">
        <v>631</v>
      </c>
      <c r="D14">
        <v>2.5</v>
      </c>
      <c r="E14">
        <v>73.531000000000006</v>
      </c>
      <c r="F14">
        <v>2.9411999999999998</v>
      </c>
      <c r="G14">
        <v>9.2163000000000004</v>
      </c>
    </row>
    <row r="15" spans="1:7" x14ac:dyDescent="0.3">
      <c r="A15" t="s">
        <v>56</v>
      </c>
      <c r="B15" t="s">
        <v>628</v>
      </c>
      <c r="C15" t="s">
        <v>631</v>
      </c>
      <c r="D15">
        <v>2.5</v>
      </c>
      <c r="E15">
        <v>80.451999999999998</v>
      </c>
      <c r="F15">
        <v>3.2181000000000002</v>
      </c>
      <c r="G15">
        <v>8.3089999999999993</v>
      </c>
    </row>
    <row r="16" spans="1:7" x14ac:dyDescent="0.3">
      <c r="A16" t="s">
        <v>59</v>
      </c>
      <c r="B16" t="s">
        <v>628</v>
      </c>
      <c r="C16" t="s">
        <v>633</v>
      </c>
      <c r="D16">
        <v>0.5</v>
      </c>
      <c r="E16">
        <v>16.89</v>
      </c>
      <c r="F16">
        <v>3.3780000000000001</v>
      </c>
      <c r="G16">
        <v>2.3348</v>
      </c>
    </row>
    <row r="17" spans="1:7" x14ac:dyDescent="0.3">
      <c r="A17" t="s">
        <v>63</v>
      </c>
      <c r="B17" t="s">
        <v>630</v>
      </c>
      <c r="C17" t="s">
        <v>633</v>
      </c>
      <c r="D17">
        <v>2.5</v>
      </c>
      <c r="E17">
        <v>61.25</v>
      </c>
      <c r="F17">
        <v>2.4500000000000002</v>
      </c>
      <c r="G17">
        <v>9.0800999999999998</v>
      </c>
    </row>
    <row r="18" spans="1:7" x14ac:dyDescent="0.3">
      <c r="A18" t="s">
        <v>67</v>
      </c>
      <c r="B18" t="s">
        <v>630</v>
      </c>
      <c r="C18" t="s">
        <v>631</v>
      </c>
      <c r="D18">
        <v>2.5</v>
      </c>
      <c r="E18">
        <v>80.778000000000006</v>
      </c>
      <c r="F18">
        <v>3.2311000000000001</v>
      </c>
      <c r="G18">
        <v>11.7544</v>
      </c>
    </row>
    <row r="19" spans="1:7" x14ac:dyDescent="0.3">
      <c r="A19" t="s">
        <v>70</v>
      </c>
      <c r="B19" t="s">
        <v>634</v>
      </c>
      <c r="C19" t="s">
        <v>629</v>
      </c>
      <c r="D19">
        <v>2.5</v>
      </c>
      <c r="E19">
        <v>88.546999999999997</v>
      </c>
      <c r="F19">
        <v>3.5419</v>
      </c>
      <c r="G19">
        <v>7.2240000000000002</v>
      </c>
    </row>
    <row r="20" spans="1:7" x14ac:dyDescent="0.3">
      <c r="A20" t="s">
        <v>74</v>
      </c>
      <c r="B20" t="s">
        <v>634</v>
      </c>
      <c r="C20" t="s">
        <v>633</v>
      </c>
      <c r="D20">
        <v>0.2</v>
      </c>
      <c r="E20">
        <v>6.1980000000000004</v>
      </c>
      <c r="F20">
        <v>3.0990000000000002</v>
      </c>
      <c r="G20">
        <v>0.83020000000000005</v>
      </c>
    </row>
    <row r="21" spans="1:7" x14ac:dyDescent="0.3">
      <c r="A21" t="s">
        <v>78</v>
      </c>
      <c r="B21" t="s">
        <v>634</v>
      </c>
      <c r="C21" t="s">
        <v>631</v>
      </c>
      <c r="D21">
        <v>0.5</v>
      </c>
      <c r="E21">
        <v>18.209</v>
      </c>
      <c r="F21">
        <v>3.6417999999999999</v>
      </c>
      <c r="G21">
        <v>1.4748000000000001</v>
      </c>
    </row>
    <row r="22" spans="1:7" x14ac:dyDescent="0.3">
      <c r="A22" t="s">
        <v>27</v>
      </c>
      <c r="B22" t="s">
        <v>628</v>
      </c>
      <c r="C22" t="s">
        <v>629</v>
      </c>
      <c r="D22">
        <v>2.5</v>
      </c>
      <c r="E22">
        <v>62.03</v>
      </c>
      <c r="F22">
        <v>2.4811999999999999</v>
      </c>
      <c r="G22">
        <v>5.2904999999999998</v>
      </c>
    </row>
    <row r="23" spans="1:7" x14ac:dyDescent="0.3">
      <c r="A23" t="s">
        <v>27</v>
      </c>
      <c r="B23" t="s">
        <v>632</v>
      </c>
      <c r="C23" t="s">
        <v>629</v>
      </c>
      <c r="D23">
        <v>0.2</v>
      </c>
      <c r="E23">
        <v>6.9859999999999998</v>
      </c>
      <c r="F23">
        <v>3.4929999999999999</v>
      </c>
      <c r="G23">
        <v>0.73640000000000005</v>
      </c>
    </row>
    <row r="24" spans="1:7" x14ac:dyDescent="0.3">
      <c r="A24" t="s">
        <v>27</v>
      </c>
      <c r="B24" t="s">
        <v>634</v>
      </c>
      <c r="C24" t="s">
        <v>629</v>
      </c>
      <c r="D24">
        <v>1</v>
      </c>
      <c r="E24">
        <v>24.21</v>
      </c>
      <c r="F24">
        <v>2.4209999999999998</v>
      </c>
      <c r="G24">
        <v>2.4007000000000001</v>
      </c>
    </row>
    <row r="25" spans="1:7" x14ac:dyDescent="0.3">
      <c r="A25" t="s">
        <v>41</v>
      </c>
      <c r="B25" t="s">
        <v>628</v>
      </c>
      <c r="C25" t="s">
        <v>629</v>
      </c>
      <c r="D25">
        <v>1</v>
      </c>
      <c r="E25">
        <v>29.388999999999999</v>
      </c>
      <c r="F25">
        <v>2.9388999999999998</v>
      </c>
      <c r="G25">
        <v>2.8997000000000002</v>
      </c>
    </row>
    <row r="26" spans="1:7" x14ac:dyDescent="0.3">
      <c r="A26" t="s">
        <v>89</v>
      </c>
      <c r="B26" t="s">
        <v>628</v>
      </c>
      <c r="C26" t="s">
        <v>629</v>
      </c>
      <c r="D26">
        <v>1</v>
      </c>
      <c r="E26">
        <v>38.335000000000001</v>
      </c>
      <c r="F26">
        <v>3.8334999999999999</v>
      </c>
      <c r="G26">
        <v>3.9944999999999999</v>
      </c>
    </row>
    <row r="27" spans="1:7" x14ac:dyDescent="0.3">
      <c r="A27" t="s">
        <v>34</v>
      </c>
      <c r="B27" t="s">
        <v>634</v>
      </c>
      <c r="C27" t="s">
        <v>631</v>
      </c>
      <c r="D27">
        <v>2.5</v>
      </c>
      <c r="E27">
        <v>68.37</v>
      </c>
      <c r="F27">
        <v>2.7347999999999999</v>
      </c>
      <c r="G27">
        <v>6.4058000000000002</v>
      </c>
    </row>
    <row r="28" spans="1:7" x14ac:dyDescent="0.3">
      <c r="A28" t="s">
        <v>41</v>
      </c>
      <c r="B28" t="s">
        <v>628</v>
      </c>
      <c r="C28" t="s">
        <v>629</v>
      </c>
      <c r="D28">
        <v>0.5</v>
      </c>
      <c r="E28">
        <v>15.855</v>
      </c>
      <c r="F28">
        <v>3.1709999999999998</v>
      </c>
      <c r="G28">
        <v>1.2715000000000001</v>
      </c>
    </row>
    <row r="29" spans="1:7" x14ac:dyDescent="0.3">
      <c r="A29" t="s">
        <v>41</v>
      </c>
      <c r="B29" t="s">
        <v>634</v>
      </c>
      <c r="C29" t="s">
        <v>633</v>
      </c>
      <c r="D29">
        <v>1</v>
      </c>
      <c r="E29">
        <v>27.4</v>
      </c>
      <c r="F29">
        <v>2.74</v>
      </c>
      <c r="G29">
        <v>3.9887000000000001</v>
      </c>
    </row>
    <row r="30" spans="1:7" x14ac:dyDescent="0.3">
      <c r="A30" t="s">
        <v>63</v>
      </c>
      <c r="B30" t="s">
        <v>628</v>
      </c>
      <c r="C30" t="s">
        <v>629</v>
      </c>
      <c r="D30">
        <v>2.5</v>
      </c>
      <c r="E30">
        <v>60.094999999999999</v>
      </c>
      <c r="F30">
        <v>2.4037999999999999</v>
      </c>
      <c r="G30">
        <v>8.1690000000000005</v>
      </c>
    </row>
    <row r="31" spans="1:7" x14ac:dyDescent="0.3">
      <c r="A31" t="s">
        <v>15</v>
      </c>
      <c r="B31" t="s">
        <v>634</v>
      </c>
      <c r="C31" t="s">
        <v>629</v>
      </c>
      <c r="D31">
        <v>0.5</v>
      </c>
      <c r="E31">
        <v>17.3</v>
      </c>
      <c r="F31">
        <v>3.46</v>
      </c>
      <c r="G31">
        <v>2.3967000000000001</v>
      </c>
    </row>
    <row r="32" spans="1:7" x14ac:dyDescent="0.3">
      <c r="A32" t="s">
        <v>89</v>
      </c>
      <c r="B32" t="s">
        <v>630</v>
      </c>
      <c r="C32" t="s">
        <v>631</v>
      </c>
      <c r="D32">
        <v>0.2</v>
      </c>
      <c r="E32">
        <v>7.7009999999999996</v>
      </c>
      <c r="F32">
        <v>3.8504999999999998</v>
      </c>
      <c r="G32">
        <v>0.79700000000000004</v>
      </c>
    </row>
    <row r="33" spans="1:7" x14ac:dyDescent="0.3">
      <c r="A33" t="s">
        <v>19</v>
      </c>
      <c r="B33" t="s">
        <v>632</v>
      </c>
      <c r="C33" t="s">
        <v>629</v>
      </c>
      <c r="D33">
        <v>2.5</v>
      </c>
      <c r="E33">
        <v>67.418999999999997</v>
      </c>
      <c r="F33">
        <v>2.6968000000000001</v>
      </c>
      <c r="G33">
        <v>6.9706000000000001</v>
      </c>
    </row>
    <row r="34" spans="1:7" x14ac:dyDescent="0.3">
      <c r="A34" t="s">
        <v>15</v>
      </c>
      <c r="B34" t="s">
        <v>628</v>
      </c>
      <c r="C34" t="s">
        <v>631</v>
      </c>
      <c r="D34">
        <v>2.5</v>
      </c>
      <c r="E34">
        <v>88.27</v>
      </c>
      <c r="F34">
        <v>3.5308000000000002</v>
      </c>
      <c r="G34">
        <v>12.5336</v>
      </c>
    </row>
    <row r="35" spans="1:7" x14ac:dyDescent="0.3">
      <c r="A35" t="s">
        <v>51</v>
      </c>
      <c r="B35" t="s">
        <v>628</v>
      </c>
      <c r="C35" t="s">
        <v>633</v>
      </c>
      <c r="D35">
        <v>0.2</v>
      </c>
      <c r="E35">
        <v>4.577</v>
      </c>
      <c r="F35">
        <v>2.2885</v>
      </c>
      <c r="G35">
        <v>0.50939999999999996</v>
      </c>
    </row>
    <row r="36" spans="1:7" x14ac:dyDescent="0.3">
      <c r="A36" t="s">
        <v>45</v>
      </c>
      <c r="B36" t="s">
        <v>632</v>
      </c>
      <c r="C36" t="s">
        <v>629</v>
      </c>
      <c r="D36">
        <v>2.5</v>
      </c>
      <c r="E36">
        <v>71.057000000000002</v>
      </c>
      <c r="F36">
        <v>2.8422999999999998</v>
      </c>
      <c r="G36">
        <v>8.7822999999999993</v>
      </c>
    </row>
    <row r="37" spans="1:7" x14ac:dyDescent="0.3">
      <c r="A37" t="s">
        <v>78</v>
      </c>
      <c r="B37" t="s">
        <v>630</v>
      </c>
      <c r="C37" t="s">
        <v>631</v>
      </c>
      <c r="D37">
        <v>0.5</v>
      </c>
      <c r="E37">
        <v>16.036999999999999</v>
      </c>
      <c r="F37">
        <v>3.2073999999999998</v>
      </c>
      <c r="G37">
        <v>2.0611000000000002</v>
      </c>
    </row>
    <row r="38" spans="1:7" x14ac:dyDescent="0.3">
      <c r="A38" t="s">
        <v>45</v>
      </c>
      <c r="B38" t="s">
        <v>632</v>
      </c>
      <c r="C38" t="s">
        <v>631</v>
      </c>
      <c r="D38">
        <v>0.2</v>
      </c>
      <c r="E38">
        <v>6.4770000000000003</v>
      </c>
      <c r="F38">
        <v>3.2385000000000002</v>
      </c>
      <c r="G38">
        <v>0.71160000000000001</v>
      </c>
    </row>
    <row r="39" spans="1:7" x14ac:dyDescent="0.3">
      <c r="A39" t="s">
        <v>51</v>
      </c>
      <c r="B39" t="s">
        <v>634</v>
      </c>
      <c r="C39" t="s">
        <v>631</v>
      </c>
      <c r="D39">
        <v>1</v>
      </c>
      <c r="E39">
        <v>23.536999999999999</v>
      </c>
      <c r="F39">
        <v>2.3536999999999999</v>
      </c>
      <c r="G39">
        <v>3.4113000000000002</v>
      </c>
    </row>
    <row r="40" spans="1:7" x14ac:dyDescent="0.3">
      <c r="A40" t="s">
        <v>27</v>
      </c>
      <c r="B40" t="s">
        <v>628</v>
      </c>
      <c r="C40" t="s">
        <v>631</v>
      </c>
      <c r="D40">
        <v>0.5</v>
      </c>
      <c r="E40">
        <v>12.723000000000001</v>
      </c>
      <c r="F40">
        <v>2.5446</v>
      </c>
      <c r="G40">
        <v>1.0382</v>
      </c>
    </row>
    <row r="41" spans="1:7" x14ac:dyDescent="0.3">
      <c r="A41" t="s">
        <v>45</v>
      </c>
      <c r="B41" t="s">
        <v>628</v>
      </c>
      <c r="C41" t="s">
        <v>629</v>
      </c>
      <c r="D41">
        <v>1</v>
      </c>
      <c r="E41">
        <v>24.757999999999999</v>
      </c>
      <c r="F41">
        <v>2.4758</v>
      </c>
      <c r="G41">
        <v>2.5918999999999999</v>
      </c>
    </row>
    <row r="42" spans="1:7" x14ac:dyDescent="0.3">
      <c r="A42" t="s">
        <v>27</v>
      </c>
      <c r="B42" t="s">
        <v>628</v>
      </c>
      <c r="C42" t="s">
        <v>631</v>
      </c>
      <c r="D42">
        <v>0.2</v>
      </c>
      <c r="E42">
        <v>6.9960000000000004</v>
      </c>
      <c r="F42">
        <v>3.4980000000000002</v>
      </c>
      <c r="G42">
        <v>0.79900000000000004</v>
      </c>
    </row>
    <row r="43" spans="1:7" x14ac:dyDescent="0.3">
      <c r="A43" t="s">
        <v>124</v>
      </c>
      <c r="B43" t="s">
        <v>634</v>
      </c>
      <c r="C43" t="s">
        <v>629</v>
      </c>
      <c r="D43">
        <v>0.5</v>
      </c>
      <c r="E43">
        <v>16.710999999999999</v>
      </c>
      <c r="F43">
        <v>3.3422000000000001</v>
      </c>
      <c r="G43">
        <v>1.9354</v>
      </c>
    </row>
    <row r="44" spans="1:7" x14ac:dyDescent="0.3">
      <c r="A44" t="s">
        <v>127</v>
      </c>
      <c r="B44" t="s">
        <v>632</v>
      </c>
      <c r="C44" t="s">
        <v>631</v>
      </c>
      <c r="D44">
        <v>1</v>
      </c>
      <c r="E44">
        <v>38.804000000000002</v>
      </c>
      <c r="F44">
        <v>3.8803999999999998</v>
      </c>
      <c r="G44">
        <v>3.3959999999999999</v>
      </c>
    </row>
    <row r="45" spans="1:7" x14ac:dyDescent="0.3">
      <c r="A45" t="s">
        <v>23</v>
      </c>
      <c r="B45" t="s">
        <v>628</v>
      </c>
      <c r="C45" t="s">
        <v>633</v>
      </c>
      <c r="D45">
        <v>0.5</v>
      </c>
      <c r="E45">
        <v>11.010999999999999</v>
      </c>
      <c r="F45">
        <v>2.2021999999999999</v>
      </c>
      <c r="G45">
        <v>1.5248999999999999</v>
      </c>
    </row>
    <row r="46" spans="1:7" x14ac:dyDescent="0.3">
      <c r="A46" t="s">
        <v>23</v>
      </c>
      <c r="B46" t="s">
        <v>632</v>
      </c>
      <c r="C46" t="s">
        <v>631</v>
      </c>
      <c r="D46">
        <v>0.2</v>
      </c>
      <c r="E46">
        <v>5.3730000000000002</v>
      </c>
      <c r="F46">
        <v>2.6865000000000001</v>
      </c>
      <c r="G46">
        <v>0.59840000000000004</v>
      </c>
    </row>
    <row r="47" spans="1:7" x14ac:dyDescent="0.3">
      <c r="A47" t="s">
        <v>41</v>
      </c>
      <c r="B47" t="s">
        <v>628</v>
      </c>
      <c r="C47" t="s">
        <v>629</v>
      </c>
      <c r="D47">
        <v>0.5</v>
      </c>
      <c r="E47">
        <v>14.815</v>
      </c>
      <c r="F47">
        <v>2.9630000000000001</v>
      </c>
      <c r="G47">
        <v>2.2008000000000001</v>
      </c>
    </row>
    <row r="48" spans="1:7" x14ac:dyDescent="0.3">
      <c r="A48" t="s">
        <v>67</v>
      </c>
      <c r="B48" t="s">
        <v>632</v>
      </c>
      <c r="C48" t="s">
        <v>631</v>
      </c>
      <c r="D48">
        <v>0.2</v>
      </c>
      <c r="E48">
        <v>5.0090000000000003</v>
      </c>
      <c r="F48">
        <v>2.5045000000000002</v>
      </c>
      <c r="G48">
        <v>0.4874</v>
      </c>
    </row>
    <row r="49" spans="1:7" x14ac:dyDescent="0.3">
      <c r="A49" t="s">
        <v>137</v>
      </c>
      <c r="B49" t="s">
        <v>634</v>
      </c>
      <c r="C49" t="s">
        <v>631</v>
      </c>
      <c r="D49">
        <v>0.2</v>
      </c>
      <c r="E49">
        <v>6.774</v>
      </c>
      <c r="F49">
        <v>3.387</v>
      </c>
      <c r="G49">
        <v>0.64490000000000003</v>
      </c>
    </row>
    <row r="50" spans="1:7" x14ac:dyDescent="0.3">
      <c r="A50" t="s">
        <v>59</v>
      </c>
      <c r="B50" t="s">
        <v>630</v>
      </c>
      <c r="C50" t="s">
        <v>631</v>
      </c>
      <c r="D50">
        <v>0.2</v>
      </c>
      <c r="E50">
        <v>7.6870000000000003</v>
      </c>
      <c r="F50">
        <v>3.8435000000000001</v>
      </c>
      <c r="G50">
        <v>1.0849</v>
      </c>
    </row>
    <row r="51" spans="1:7" x14ac:dyDescent="0.3">
      <c r="A51" t="s">
        <v>59</v>
      </c>
      <c r="B51" t="s">
        <v>634</v>
      </c>
      <c r="C51" t="s">
        <v>631</v>
      </c>
      <c r="D51">
        <v>2.5</v>
      </c>
      <c r="E51">
        <v>80.37</v>
      </c>
      <c r="F51">
        <v>3.2147999999999999</v>
      </c>
      <c r="G51">
        <v>8.0930999999999997</v>
      </c>
    </row>
    <row r="52" spans="1:7" x14ac:dyDescent="0.3">
      <c r="A52" t="s">
        <v>74</v>
      </c>
      <c r="B52" t="s">
        <v>632</v>
      </c>
      <c r="C52" t="s">
        <v>629</v>
      </c>
      <c r="D52">
        <v>0.5</v>
      </c>
      <c r="E52">
        <v>17.056000000000001</v>
      </c>
      <c r="F52">
        <v>3.4112</v>
      </c>
      <c r="G52">
        <v>1.5564</v>
      </c>
    </row>
    <row r="53" spans="1:7" x14ac:dyDescent="0.3">
      <c r="A53" t="s">
        <v>51</v>
      </c>
      <c r="B53" t="s">
        <v>632</v>
      </c>
      <c r="C53" t="s">
        <v>631</v>
      </c>
      <c r="D53">
        <v>2.5</v>
      </c>
      <c r="E53">
        <v>55.165999999999997</v>
      </c>
      <c r="F53">
        <v>2.2065999999999999</v>
      </c>
      <c r="G53">
        <v>7.5369999999999999</v>
      </c>
    </row>
    <row r="54" spans="1:7" x14ac:dyDescent="0.3">
      <c r="A54" t="s">
        <v>23</v>
      </c>
      <c r="B54" t="s">
        <v>628</v>
      </c>
      <c r="C54" t="s">
        <v>631</v>
      </c>
      <c r="D54">
        <v>0.5</v>
      </c>
      <c r="E54">
        <v>19.331</v>
      </c>
      <c r="F54">
        <v>3.8662000000000001</v>
      </c>
      <c r="G54">
        <v>2.79</v>
      </c>
    </row>
    <row r="55" spans="1:7" x14ac:dyDescent="0.3">
      <c r="A55" t="s">
        <v>63</v>
      </c>
      <c r="B55" t="s">
        <v>630</v>
      </c>
      <c r="C55" t="s">
        <v>629</v>
      </c>
      <c r="D55">
        <v>0.2</v>
      </c>
      <c r="E55">
        <v>4.6159999999999997</v>
      </c>
      <c r="F55">
        <v>2.3079999999999998</v>
      </c>
      <c r="G55">
        <v>0.3982</v>
      </c>
    </row>
    <row r="56" spans="1:7" x14ac:dyDescent="0.3">
      <c r="A56" t="s">
        <v>67</v>
      </c>
      <c r="B56" t="s">
        <v>630</v>
      </c>
      <c r="C56" t="s">
        <v>633</v>
      </c>
      <c r="D56">
        <v>0.2</v>
      </c>
      <c r="E56">
        <v>7.4950000000000001</v>
      </c>
      <c r="F56">
        <v>3.7475000000000001</v>
      </c>
      <c r="G56">
        <v>0.66910000000000003</v>
      </c>
    </row>
    <row r="57" spans="1:7" x14ac:dyDescent="0.3">
      <c r="A57" t="s">
        <v>45</v>
      </c>
      <c r="B57" t="s">
        <v>630</v>
      </c>
      <c r="C57" t="s">
        <v>629</v>
      </c>
      <c r="D57">
        <v>1</v>
      </c>
      <c r="E57">
        <v>26.07</v>
      </c>
      <c r="F57">
        <v>2.6070000000000002</v>
      </c>
      <c r="G57">
        <v>2.6711</v>
      </c>
    </row>
    <row r="58" spans="1:7" x14ac:dyDescent="0.3">
      <c r="A58" t="s">
        <v>51</v>
      </c>
      <c r="B58" t="s">
        <v>634</v>
      </c>
      <c r="C58" t="s">
        <v>633</v>
      </c>
      <c r="D58">
        <v>2.5</v>
      </c>
      <c r="E58">
        <v>72.709999999999994</v>
      </c>
      <c r="F58">
        <v>2.9083999999999999</v>
      </c>
      <c r="G58">
        <v>9.7446999999999999</v>
      </c>
    </row>
    <row r="59" spans="1:7" x14ac:dyDescent="0.3">
      <c r="A59" t="s">
        <v>56</v>
      </c>
      <c r="B59" t="s">
        <v>632</v>
      </c>
      <c r="C59" t="s">
        <v>629</v>
      </c>
      <c r="D59">
        <v>0.5</v>
      </c>
      <c r="E59">
        <v>14.015000000000001</v>
      </c>
      <c r="F59">
        <v>2.8029999999999999</v>
      </c>
      <c r="G59">
        <v>1.4944999999999999</v>
      </c>
    </row>
    <row r="60" spans="1:7" x14ac:dyDescent="0.3">
      <c r="A60" t="s">
        <v>70</v>
      </c>
      <c r="B60" t="s">
        <v>630</v>
      </c>
      <c r="C60" t="s">
        <v>633</v>
      </c>
      <c r="D60">
        <v>1</v>
      </c>
      <c r="E60">
        <v>35.494</v>
      </c>
      <c r="F60">
        <v>3.5493999999999999</v>
      </c>
      <c r="G60">
        <v>5.2144000000000004</v>
      </c>
    </row>
    <row r="61" spans="1:7" x14ac:dyDescent="0.3">
      <c r="A61" t="s">
        <v>15</v>
      </c>
      <c r="B61" t="s">
        <v>628</v>
      </c>
      <c r="C61" t="s">
        <v>631</v>
      </c>
      <c r="D61">
        <v>0.2</v>
      </c>
      <c r="E61">
        <v>6.1070000000000002</v>
      </c>
      <c r="F61">
        <v>3.0535000000000001</v>
      </c>
      <c r="G61">
        <v>0.76500000000000001</v>
      </c>
    </row>
    <row r="62" spans="1:7" x14ac:dyDescent="0.3">
      <c r="A62" t="s">
        <v>15</v>
      </c>
      <c r="B62" t="s">
        <v>628</v>
      </c>
      <c r="C62" t="s">
        <v>633</v>
      </c>
      <c r="D62">
        <v>0.2</v>
      </c>
      <c r="E62">
        <v>7.335</v>
      </c>
      <c r="F62">
        <v>3.6675</v>
      </c>
      <c r="G62">
        <v>0.60870000000000002</v>
      </c>
    </row>
    <row r="63" spans="1:7" x14ac:dyDescent="0.3">
      <c r="A63" t="s">
        <v>34</v>
      </c>
      <c r="B63" t="s">
        <v>632</v>
      </c>
      <c r="C63" t="s">
        <v>633</v>
      </c>
      <c r="D63">
        <v>1</v>
      </c>
      <c r="E63">
        <v>37.628999999999998</v>
      </c>
      <c r="F63">
        <v>3.7629000000000001</v>
      </c>
      <c r="G63">
        <v>5.4054000000000002</v>
      </c>
    </row>
    <row r="64" spans="1:7" x14ac:dyDescent="0.3">
      <c r="A64" t="s">
        <v>67</v>
      </c>
      <c r="B64" t="s">
        <v>628</v>
      </c>
      <c r="C64" t="s">
        <v>633</v>
      </c>
      <c r="D64">
        <v>2.5</v>
      </c>
      <c r="E64">
        <v>65.77</v>
      </c>
      <c r="F64">
        <v>2.6307999999999998</v>
      </c>
      <c r="G64">
        <v>5.8761999999999999</v>
      </c>
    </row>
    <row r="65" spans="1:7" x14ac:dyDescent="0.3">
      <c r="A65" t="s">
        <v>74</v>
      </c>
      <c r="B65" t="s">
        <v>632</v>
      </c>
      <c r="C65" t="s">
        <v>631</v>
      </c>
      <c r="D65">
        <v>0.5</v>
      </c>
      <c r="E65">
        <v>18.533999999999999</v>
      </c>
      <c r="F65">
        <v>3.7067999999999999</v>
      </c>
      <c r="G65">
        <v>1.5333000000000001</v>
      </c>
    </row>
    <row r="66" spans="1:7" x14ac:dyDescent="0.3">
      <c r="A66" t="s">
        <v>127</v>
      </c>
      <c r="B66" t="s">
        <v>628</v>
      </c>
      <c r="C66" t="s">
        <v>633</v>
      </c>
      <c r="D66">
        <v>0.5</v>
      </c>
      <c r="E66">
        <v>15.94</v>
      </c>
      <c r="F66">
        <v>3.1880000000000002</v>
      </c>
      <c r="G66">
        <v>1.6339999999999999</v>
      </c>
    </row>
    <row r="67" spans="1:7" x14ac:dyDescent="0.3">
      <c r="A67" t="s">
        <v>41</v>
      </c>
      <c r="B67" t="s">
        <v>628</v>
      </c>
      <c r="C67" t="s">
        <v>629</v>
      </c>
      <c r="D67">
        <v>0.2</v>
      </c>
      <c r="E67">
        <v>6.2880000000000003</v>
      </c>
      <c r="F67">
        <v>3.1440000000000001</v>
      </c>
      <c r="G67">
        <v>0.61780000000000002</v>
      </c>
    </row>
    <row r="68" spans="1:7" x14ac:dyDescent="0.3">
      <c r="A68" t="s">
        <v>63</v>
      </c>
      <c r="B68" t="s">
        <v>628</v>
      </c>
      <c r="C68" t="s">
        <v>629</v>
      </c>
      <c r="D68">
        <v>0.2</v>
      </c>
      <c r="E68">
        <v>5.97</v>
      </c>
      <c r="F68">
        <v>2.9849999999999999</v>
      </c>
      <c r="G68">
        <v>0.52949999999999997</v>
      </c>
    </row>
    <row r="69" spans="1:7" x14ac:dyDescent="0.3">
      <c r="A69" t="s">
        <v>38</v>
      </c>
      <c r="B69" t="s">
        <v>628</v>
      </c>
      <c r="C69" t="s">
        <v>629</v>
      </c>
      <c r="D69">
        <v>0.2</v>
      </c>
      <c r="E69">
        <v>4.9249999999999998</v>
      </c>
      <c r="F69">
        <v>2.4624999999999999</v>
      </c>
      <c r="G69">
        <v>0.69059999999999999</v>
      </c>
    </row>
    <row r="70" spans="1:7" x14ac:dyDescent="0.3">
      <c r="A70" t="s">
        <v>41</v>
      </c>
      <c r="B70" t="s">
        <v>630</v>
      </c>
      <c r="C70" t="s">
        <v>633</v>
      </c>
      <c r="D70">
        <v>0.5</v>
      </c>
      <c r="E70">
        <v>14.635999999999999</v>
      </c>
      <c r="F70">
        <v>2.9272</v>
      </c>
      <c r="G70">
        <v>1.6826000000000001</v>
      </c>
    </row>
    <row r="71" spans="1:7" x14ac:dyDescent="0.3">
      <c r="A71" t="s">
        <v>45</v>
      </c>
      <c r="B71" t="s">
        <v>634</v>
      </c>
      <c r="C71" t="s">
        <v>629</v>
      </c>
      <c r="D71">
        <v>1</v>
      </c>
      <c r="E71">
        <v>23.042999999999999</v>
      </c>
      <c r="F71">
        <v>2.3043</v>
      </c>
      <c r="G71">
        <v>2.0589</v>
      </c>
    </row>
    <row r="72" spans="1:7" x14ac:dyDescent="0.3">
      <c r="A72" t="s">
        <v>45</v>
      </c>
      <c r="B72" t="s">
        <v>634</v>
      </c>
      <c r="C72" t="s">
        <v>631</v>
      </c>
      <c r="D72">
        <v>1</v>
      </c>
      <c r="E72">
        <v>37.482999999999997</v>
      </c>
      <c r="F72">
        <v>3.7483</v>
      </c>
      <c r="G72">
        <v>4.2569999999999997</v>
      </c>
    </row>
    <row r="73" spans="1:7" x14ac:dyDescent="0.3">
      <c r="A73" t="s">
        <v>15</v>
      </c>
      <c r="B73" t="s">
        <v>634</v>
      </c>
      <c r="C73" t="s">
        <v>631</v>
      </c>
      <c r="D73">
        <v>2.5</v>
      </c>
      <c r="E73">
        <v>70.707999999999998</v>
      </c>
      <c r="F73">
        <v>2.8283</v>
      </c>
      <c r="G73">
        <v>7.2828999999999997</v>
      </c>
    </row>
    <row r="74" spans="1:7" x14ac:dyDescent="0.3">
      <c r="A74" t="s">
        <v>127</v>
      </c>
      <c r="B74" t="s">
        <v>630</v>
      </c>
      <c r="C74" t="s">
        <v>633</v>
      </c>
      <c r="D74">
        <v>2.5</v>
      </c>
      <c r="E74">
        <v>90.527000000000001</v>
      </c>
      <c r="F74">
        <v>3.6211000000000002</v>
      </c>
      <c r="G74">
        <v>11.8932</v>
      </c>
    </row>
    <row r="75" spans="1:7" x14ac:dyDescent="0.3">
      <c r="A75" t="s">
        <v>137</v>
      </c>
      <c r="B75" t="s">
        <v>632</v>
      </c>
      <c r="C75" t="s">
        <v>631</v>
      </c>
      <c r="D75">
        <v>0.5</v>
      </c>
      <c r="E75">
        <v>12.54</v>
      </c>
      <c r="F75">
        <v>2.508</v>
      </c>
      <c r="G75">
        <v>1.4519</v>
      </c>
    </row>
    <row r="76" spans="1:7" x14ac:dyDescent="0.3">
      <c r="A76" t="s">
        <v>51</v>
      </c>
      <c r="B76" t="s">
        <v>630</v>
      </c>
      <c r="C76" t="s">
        <v>629</v>
      </c>
      <c r="D76">
        <v>0.2</v>
      </c>
      <c r="E76">
        <v>7.7130000000000001</v>
      </c>
      <c r="F76">
        <v>3.8565</v>
      </c>
      <c r="G76">
        <v>0.78359999999999996</v>
      </c>
    </row>
    <row r="77" spans="1:7" x14ac:dyDescent="0.3">
      <c r="A77" t="s">
        <v>15</v>
      </c>
      <c r="B77" t="s">
        <v>634</v>
      </c>
      <c r="C77" t="s">
        <v>631</v>
      </c>
      <c r="D77">
        <v>1</v>
      </c>
      <c r="E77">
        <v>33.850999999999999</v>
      </c>
      <c r="F77">
        <v>3.3851</v>
      </c>
      <c r="G77">
        <v>3.5865999999999998</v>
      </c>
    </row>
    <row r="78" spans="1:7" x14ac:dyDescent="0.3">
      <c r="A78" t="s">
        <v>27</v>
      </c>
      <c r="B78" t="s">
        <v>634</v>
      </c>
      <c r="C78" t="s">
        <v>629</v>
      </c>
      <c r="D78">
        <v>1</v>
      </c>
      <c r="E78">
        <v>32.872</v>
      </c>
      <c r="F78">
        <v>3.2871999999999999</v>
      </c>
      <c r="G78">
        <v>4.2431999999999999</v>
      </c>
    </row>
    <row r="79" spans="1:7" x14ac:dyDescent="0.3">
      <c r="A79" t="s">
        <v>137</v>
      </c>
      <c r="B79" t="s">
        <v>630</v>
      </c>
      <c r="C79" t="s">
        <v>631</v>
      </c>
      <c r="D79">
        <v>0.5</v>
      </c>
      <c r="E79">
        <v>14.468</v>
      </c>
      <c r="F79">
        <v>2.8936000000000002</v>
      </c>
      <c r="G79">
        <v>2.1042000000000001</v>
      </c>
    </row>
    <row r="80" spans="1:7" x14ac:dyDescent="0.3">
      <c r="A80" t="s">
        <v>59</v>
      </c>
      <c r="B80" t="s">
        <v>632</v>
      </c>
      <c r="C80" t="s">
        <v>633</v>
      </c>
      <c r="D80">
        <v>2.5</v>
      </c>
      <c r="E80">
        <v>86.962000000000003</v>
      </c>
      <c r="F80">
        <v>3.4784999999999999</v>
      </c>
      <c r="G80">
        <v>12.108599999999999</v>
      </c>
    </row>
    <row r="81" spans="1:7" x14ac:dyDescent="0.3">
      <c r="A81" t="s">
        <v>67</v>
      </c>
      <c r="B81" t="s">
        <v>630</v>
      </c>
      <c r="C81" t="s">
        <v>629</v>
      </c>
      <c r="D81">
        <v>0.5</v>
      </c>
      <c r="E81">
        <v>12.481</v>
      </c>
      <c r="F81">
        <v>2.4962</v>
      </c>
      <c r="G81">
        <v>1.1845000000000001</v>
      </c>
    </row>
    <row r="82" spans="1:7" x14ac:dyDescent="0.3">
      <c r="A82" t="s">
        <v>70</v>
      </c>
      <c r="B82" t="s">
        <v>630</v>
      </c>
      <c r="C82" t="s">
        <v>631</v>
      </c>
      <c r="D82">
        <v>2.5</v>
      </c>
      <c r="E82">
        <v>71.108000000000004</v>
      </c>
      <c r="F82">
        <v>2.8443000000000001</v>
      </c>
      <c r="G82">
        <v>5.7447999999999997</v>
      </c>
    </row>
    <row r="83" spans="1:7" x14ac:dyDescent="0.3">
      <c r="A83" t="s">
        <v>63</v>
      </c>
      <c r="B83" t="s">
        <v>632</v>
      </c>
      <c r="C83" t="s">
        <v>629</v>
      </c>
      <c r="D83">
        <v>0.2</v>
      </c>
      <c r="E83">
        <v>4.5220000000000002</v>
      </c>
      <c r="F83">
        <v>2.2610000000000001</v>
      </c>
      <c r="G83">
        <v>0.36380000000000001</v>
      </c>
    </row>
    <row r="84" spans="1:7" x14ac:dyDescent="0.3">
      <c r="A84" t="s">
        <v>38</v>
      </c>
      <c r="B84" t="s">
        <v>628</v>
      </c>
      <c r="C84" t="s">
        <v>633</v>
      </c>
      <c r="D84">
        <v>0.2</v>
      </c>
      <c r="E84">
        <v>6.0519999999999996</v>
      </c>
      <c r="F84">
        <v>3.0259999999999998</v>
      </c>
      <c r="G84">
        <v>0.5655</v>
      </c>
    </row>
    <row r="85" spans="1:7" x14ac:dyDescent="0.3">
      <c r="A85" t="s">
        <v>19</v>
      </c>
      <c r="B85" t="s">
        <v>630</v>
      </c>
      <c r="C85" t="s">
        <v>631</v>
      </c>
      <c r="D85">
        <v>0.2</v>
      </c>
      <c r="E85">
        <v>6.6349999999999998</v>
      </c>
      <c r="F85">
        <v>3.3174999999999999</v>
      </c>
      <c r="G85">
        <v>0.95440000000000003</v>
      </c>
    </row>
    <row r="86" spans="1:7" x14ac:dyDescent="0.3">
      <c r="A86" t="s">
        <v>127</v>
      </c>
      <c r="B86" t="s">
        <v>632</v>
      </c>
      <c r="C86" t="s">
        <v>629</v>
      </c>
      <c r="D86">
        <v>0.2</v>
      </c>
      <c r="E86">
        <v>7.4489999999999998</v>
      </c>
      <c r="F86">
        <v>3.7244999999999999</v>
      </c>
      <c r="G86">
        <v>0.61360000000000003</v>
      </c>
    </row>
    <row r="87" spans="1:7" x14ac:dyDescent="0.3">
      <c r="A87" t="s">
        <v>70</v>
      </c>
      <c r="B87" t="s">
        <v>630</v>
      </c>
      <c r="C87" t="s">
        <v>633</v>
      </c>
      <c r="D87">
        <v>2.5</v>
      </c>
      <c r="E87">
        <v>73.716999999999999</v>
      </c>
      <c r="F87">
        <v>2.9487000000000001</v>
      </c>
      <c r="G87">
        <v>10.1989</v>
      </c>
    </row>
    <row r="88" spans="1:7" x14ac:dyDescent="0.3">
      <c r="A88" t="s">
        <v>56</v>
      </c>
      <c r="B88" t="s">
        <v>632</v>
      </c>
      <c r="C88" t="s">
        <v>629</v>
      </c>
      <c r="D88">
        <v>0.5</v>
      </c>
      <c r="E88">
        <v>17.404</v>
      </c>
      <c r="F88">
        <v>3.4807999999999999</v>
      </c>
      <c r="G88">
        <v>1.9358</v>
      </c>
    </row>
    <row r="89" spans="1:7" x14ac:dyDescent="0.3">
      <c r="A89" t="s">
        <v>137</v>
      </c>
      <c r="B89" t="s">
        <v>628</v>
      </c>
      <c r="C89" t="s">
        <v>633</v>
      </c>
      <c r="D89">
        <v>0.5</v>
      </c>
      <c r="E89">
        <v>14.855</v>
      </c>
      <c r="F89">
        <v>2.9710000000000001</v>
      </c>
      <c r="G89">
        <v>1.7381</v>
      </c>
    </row>
    <row r="90" spans="1:7" x14ac:dyDescent="0.3">
      <c r="A90" t="s">
        <v>38</v>
      </c>
      <c r="B90" t="s">
        <v>630</v>
      </c>
      <c r="C90" t="s">
        <v>633</v>
      </c>
      <c r="D90">
        <v>0.2</v>
      </c>
      <c r="E90">
        <v>5.569</v>
      </c>
      <c r="F90">
        <v>2.7845</v>
      </c>
      <c r="G90">
        <v>0.55569999999999997</v>
      </c>
    </row>
    <row r="91" spans="1:7" x14ac:dyDescent="0.3">
      <c r="A91" t="s">
        <v>67</v>
      </c>
      <c r="B91" t="s">
        <v>630</v>
      </c>
      <c r="C91" t="s">
        <v>633</v>
      </c>
      <c r="D91">
        <v>1</v>
      </c>
      <c r="E91">
        <v>35.613999999999997</v>
      </c>
      <c r="F91">
        <v>3.5613999999999999</v>
      </c>
      <c r="G91">
        <v>3.1133999999999999</v>
      </c>
    </row>
    <row r="92" spans="1:7" x14ac:dyDescent="0.3">
      <c r="A92" t="s">
        <v>127</v>
      </c>
      <c r="B92" t="s">
        <v>628</v>
      </c>
      <c r="C92" t="s">
        <v>631</v>
      </c>
      <c r="D92">
        <v>0.5</v>
      </c>
      <c r="E92">
        <v>12.275</v>
      </c>
      <c r="F92">
        <v>2.4550000000000001</v>
      </c>
      <c r="G92">
        <v>1.7282</v>
      </c>
    </row>
    <row r="93" spans="1:7" x14ac:dyDescent="0.3">
      <c r="A93" t="s">
        <v>34</v>
      </c>
      <c r="B93" t="s">
        <v>628</v>
      </c>
      <c r="C93" t="s">
        <v>629</v>
      </c>
      <c r="D93">
        <v>0.2</v>
      </c>
      <c r="E93">
        <v>4.5110000000000001</v>
      </c>
      <c r="F93">
        <v>2.2555000000000001</v>
      </c>
      <c r="G93">
        <v>0.4929</v>
      </c>
    </row>
    <row r="94" spans="1:7" x14ac:dyDescent="0.3">
      <c r="A94" t="s">
        <v>34</v>
      </c>
      <c r="B94" t="s">
        <v>632</v>
      </c>
      <c r="C94" t="s">
        <v>631</v>
      </c>
      <c r="D94">
        <v>1</v>
      </c>
      <c r="E94">
        <v>36.137999999999998</v>
      </c>
      <c r="F94">
        <v>3.6137999999999999</v>
      </c>
      <c r="G94">
        <v>4.7088999999999999</v>
      </c>
    </row>
    <row r="95" spans="1:7" x14ac:dyDescent="0.3">
      <c r="A95" t="s">
        <v>19</v>
      </c>
      <c r="B95" t="s">
        <v>634</v>
      </c>
      <c r="C95" t="s">
        <v>629</v>
      </c>
      <c r="D95">
        <v>0.2</v>
      </c>
      <c r="E95">
        <v>6.367</v>
      </c>
      <c r="F95">
        <v>3.1835</v>
      </c>
      <c r="G95">
        <v>0.90859999999999996</v>
      </c>
    </row>
    <row r="96" spans="1:7" x14ac:dyDescent="0.3">
      <c r="A96" t="s">
        <v>23</v>
      </c>
      <c r="B96" t="s">
        <v>634</v>
      </c>
      <c r="C96" t="s">
        <v>629</v>
      </c>
      <c r="D96">
        <v>0.2</v>
      </c>
      <c r="E96">
        <v>7.2489999999999997</v>
      </c>
      <c r="F96">
        <v>3.6244999999999998</v>
      </c>
      <c r="G96">
        <v>0.94269999999999998</v>
      </c>
    </row>
    <row r="97" spans="1:7" x14ac:dyDescent="0.3">
      <c r="A97" t="s">
        <v>19</v>
      </c>
      <c r="B97" t="s">
        <v>630</v>
      </c>
      <c r="C97" t="s">
        <v>631</v>
      </c>
      <c r="D97">
        <v>0.5</v>
      </c>
      <c r="E97">
        <v>11.686999999999999</v>
      </c>
      <c r="F97">
        <v>2.3374000000000001</v>
      </c>
      <c r="G97">
        <v>1.2319</v>
      </c>
    </row>
    <row r="98" spans="1:7" x14ac:dyDescent="0.3">
      <c r="A98" t="s">
        <v>51</v>
      </c>
      <c r="B98" t="s">
        <v>630</v>
      </c>
      <c r="C98" t="s">
        <v>631</v>
      </c>
      <c r="D98">
        <v>2.5</v>
      </c>
      <c r="E98">
        <v>73.028999999999996</v>
      </c>
      <c r="F98">
        <v>2.9211999999999998</v>
      </c>
      <c r="G98">
        <v>7.9932999999999996</v>
      </c>
    </row>
    <row r="99" spans="1:7" x14ac:dyDescent="0.3">
      <c r="A99" t="s">
        <v>34</v>
      </c>
      <c r="B99" t="s">
        <v>630</v>
      </c>
      <c r="C99" t="s">
        <v>631</v>
      </c>
      <c r="D99">
        <v>1</v>
      </c>
      <c r="E99">
        <v>23.108000000000001</v>
      </c>
      <c r="F99">
        <v>2.3108</v>
      </c>
      <c r="G99">
        <v>2.6585999999999999</v>
      </c>
    </row>
    <row r="100" spans="1:7" x14ac:dyDescent="0.3">
      <c r="A100" t="s">
        <v>15</v>
      </c>
      <c r="B100" t="s">
        <v>634</v>
      </c>
      <c r="C100" t="s">
        <v>631</v>
      </c>
      <c r="D100">
        <v>0.2</v>
      </c>
      <c r="E100">
        <v>4.5739999999999998</v>
      </c>
      <c r="F100">
        <v>2.2869999999999999</v>
      </c>
      <c r="G100">
        <v>0.59540000000000004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C58A9-38E7-49A8-B57B-FEA45ED41336}">
  <dimension ref="A3:B6"/>
  <sheetViews>
    <sheetView workbookViewId="0">
      <selection activeCell="B4" sqref="B4"/>
    </sheetView>
  </sheetViews>
  <sheetFormatPr defaultRowHeight="14.4" x14ac:dyDescent="0.3"/>
  <cols>
    <col min="1" max="1" width="10" bestFit="1" customWidth="1"/>
    <col min="2" max="3" width="11.6640625" bestFit="1" customWidth="1"/>
    <col min="4" max="5" width="5.44140625" bestFit="1" customWidth="1"/>
    <col min="6" max="6" width="4.33203125" bestFit="1" customWidth="1"/>
  </cols>
  <sheetData>
    <row r="3" spans="1:2" x14ac:dyDescent="0.3">
      <c r="A3" s="1" t="s">
        <v>7</v>
      </c>
      <c r="B3" t="s">
        <v>288</v>
      </c>
    </row>
    <row r="4" spans="1:2" x14ac:dyDescent="0.3">
      <c r="A4" t="s">
        <v>321</v>
      </c>
      <c r="B4" s="4">
        <v>1556.3820000000001</v>
      </c>
    </row>
    <row r="5" spans="1:2" x14ac:dyDescent="0.3">
      <c r="A5" t="s">
        <v>326</v>
      </c>
      <c r="B5" s="4">
        <v>1743.9089999999999</v>
      </c>
    </row>
    <row r="6" spans="1:2" x14ac:dyDescent="0.3">
      <c r="A6" t="s">
        <v>310</v>
      </c>
      <c r="B6" s="4">
        <v>2061.4049999999997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BC8FA-392A-49DA-8E20-FD261E069CD4}">
  <dimension ref="A3:B8"/>
  <sheetViews>
    <sheetView zoomScaleNormal="100" workbookViewId="0">
      <selection activeCell="B3" sqref="B3"/>
    </sheetView>
  </sheetViews>
  <sheetFormatPr defaultRowHeight="14.4" x14ac:dyDescent="0.3"/>
  <cols>
    <col min="1" max="1" width="16.88671875" bestFit="1" customWidth="1"/>
    <col min="2" max="3" width="11.6640625" bestFit="1" customWidth="1"/>
    <col min="4" max="5" width="5.44140625" bestFit="1" customWidth="1"/>
    <col min="6" max="6" width="4.33203125" bestFit="1" customWidth="1"/>
  </cols>
  <sheetData>
    <row r="3" spans="1:2" x14ac:dyDescent="0.3">
      <c r="A3" s="1" t="s">
        <v>5</v>
      </c>
      <c r="B3" t="s">
        <v>288</v>
      </c>
    </row>
    <row r="4" spans="1:2" x14ac:dyDescent="0.3">
      <c r="A4" t="s">
        <v>75</v>
      </c>
      <c r="B4" s="4">
        <v>573.71699999999998</v>
      </c>
    </row>
    <row r="5" spans="1:2" x14ac:dyDescent="0.3">
      <c r="A5" t="s">
        <v>252</v>
      </c>
      <c r="B5" s="4">
        <v>575.99099999999999</v>
      </c>
    </row>
    <row r="6" spans="1:2" x14ac:dyDescent="0.3">
      <c r="A6" t="s">
        <v>258</v>
      </c>
      <c r="B6" s="4">
        <v>648.221</v>
      </c>
    </row>
    <row r="7" spans="1:2" x14ac:dyDescent="0.3">
      <c r="A7" t="s">
        <v>261</v>
      </c>
      <c r="B7" s="4">
        <v>811.11899999999991</v>
      </c>
    </row>
    <row r="8" spans="1:2" x14ac:dyDescent="0.3">
      <c r="A8" t="s">
        <v>107</v>
      </c>
      <c r="B8" s="4">
        <v>839.51099999999997</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C42C9-8D3E-4293-8264-177C868F1883}">
  <dimension ref="AA1:AA8"/>
  <sheetViews>
    <sheetView showGridLines="0" tabSelected="1" zoomScale="77" zoomScaleNormal="77" workbookViewId="0">
      <selection activeCell="AC3" sqref="AC3"/>
    </sheetView>
  </sheetViews>
  <sheetFormatPr defaultRowHeight="14.4" x14ac:dyDescent="0.3"/>
  <cols>
    <col min="1" max="1" width="1.77734375" customWidth="1"/>
  </cols>
  <sheetData>
    <row r="1" spans="27:27" ht="4.95" customHeight="1" x14ac:dyDescent="0.3"/>
    <row r="8" spans="27:27" x14ac:dyDescent="0.3">
      <c r="AA8" t="s">
        <v>635</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Orders</vt:lpstr>
      <vt:lpstr>Customer</vt:lpstr>
      <vt:lpstr>Product</vt:lpstr>
      <vt:lpstr>Total Sales by country (2)</vt:lpstr>
      <vt:lpstr>Top 5 Customer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Abdullah S S</cp:lastModifiedBy>
  <dcterms:created xsi:type="dcterms:W3CDTF">2026-01-21T08:14:51Z</dcterms:created>
  <dcterms:modified xsi:type="dcterms:W3CDTF">2026-02-20T04:44:29Z</dcterms:modified>
</cp:coreProperties>
</file>